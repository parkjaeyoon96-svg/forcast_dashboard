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0283\Desktop\AIproject\Project_Forcast\"/>
    </mc:Choice>
  </mc:AlternateContent>
  <xr:revisionPtr revIDLastSave="0" documentId="13_ncr:1_{DCF32884-51D0-42BD-B7F4-97B6D68FF48E}" xr6:coauthVersionLast="47" xr6:coauthVersionMax="47" xr10:uidLastSave="{00000000-0000-0000-0000-000000000000}"/>
  <bookViews>
    <workbookView xWindow="28680" yWindow="-1740" windowWidth="29040" windowHeight="15720" xr2:uid="{EEF1DA38-9D69-4637-A2A1-8D13428027C9}"/>
    <workbookView xWindow="-24405" yWindow="-5460" windowWidth="21600" windowHeight="11295" activeTab="1" xr2:uid="{C8902F21-32AE-4FEE-BE0B-BCC3CD3F54ED}"/>
  </bookViews>
  <sheets>
    <sheet name="Sheet2" sheetId="2" r:id="rId1"/>
    <sheet name="KP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3" l="1"/>
  <c r="G48" i="3" s="1"/>
  <c r="D48" i="3"/>
  <c r="C48" i="3"/>
  <c r="E47" i="3"/>
  <c r="D47" i="3"/>
  <c r="C47" i="3"/>
  <c r="G46" i="3"/>
  <c r="F46" i="3"/>
  <c r="G45" i="3"/>
  <c r="F45" i="3"/>
  <c r="G44" i="3"/>
  <c r="F44" i="3"/>
  <c r="E41" i="3"/>
  <c r="G41" i="3" s="1"/>
  <c r="D41" i="3"/>
  <c r="C41" i="3"/>
  <c r="E40" i="3"/>
  <c r="D40" i="3"/>
  <c r="C40" i="3"/>
  <c r="G39" i="3"/>
  <c r="F39" i="3"/>
  <c r="G38" i="3"/>
  <c r="F38" i="3"/>
  <c r="G37" i="3"/>
  <c r="F37" i="3"/>
  <c r="E34" i="3"/>
  <c r="G34" i="3" s="1"/>
  <c r="D34" i="3"/>
  <c r="C34" i="3"/>
  <c r="E33" i="3"/>
  <c r="D33" i="3"/>
  <c r="C33" i="3"/>
  <c r="G32" i="3"/>
  <c r="F32" i="3"/>
  <c r="G31" i="3"/>
  <c r="F31" i="3"/>
  <c r="G30" i="3"/>
  <c r="F30" i="3"/>
  <c r="E27" i="3"/>
  <c r="G27" i="3" s="1"/>
  <c r="D27" i="3"/>
  <c r="C27" i="3"/>
  <c r="E26" i="3"/>
  <c r="G26" i="3" s="1"/>
  <c r="D26" i="3"/>
  <c r="C26" i="3"/>
  <c r="G25" i="3"/>
  <c r="F25" i="3"/>
  <c r="G24" i="3"/>
  <c r="F24" i="3"/>
  <c r="G23" i="3"/>
  <c r="F23" i="3"/>
  <c r="F16" i="3"/>
  <c r="G16" i="3"/>
  <c r="F17" i="3"/>
  <c r="G17" i="3"/>
  <c r="F18" i="3"/>
  <c r="G18" i="3"/>
  <c r="C19" i="3"/>
  <c r="D19" i="3"/>
  <c r="E19" i="3"/>
  <c r="C20" i="3"/>
  <c r="D20" i="3"/>
  <c r="E20" i="3"/>
  <c r="F20" i="3" s="1"/>
  <c r="E13" i="3"/>
  <c r="D13" i="3"/>
  <c r="C13" i="3"/>
  <c r="E12" i="3"/>
  <c r="D12" i="3"/>
  <c r="F12" i="3" s="1"/>
  <c r="C12" i="3"/>
  <c r="G12" i="3" s="1"/>
  <c r="F11" i="3"/>
  <c r="G11" i="3"/>
  <c r="F10" i="3"/>
  <c r="G10" i="3"/>
  <c r="F9" i="3"/>
  <c r="G9" i="3"/>
  <c r="D5" i="3"/>
  <c r="E5" i="3"/>
  <c r="G5" i="3" s="1"/>
  <c r="D6" i="3"/>
  <c r="E6" i="3"/>
  <c r="F6" i="3" s="1"/>
  <c r="C6" i="3"/>
  <c r="G6" i="3" s="1"/>
  <c r="C5" i="3"/>
  <c r="G3" i="3"/>
  <c r="F3" i="3"/>
  <c r="G4" i="3"/>
  <c r="F4" i="3"/>
  <c r="F2" i="3"/>
  <c r="G2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" i="2"/>
  <c r="F47" i="3" l="1"/>
  <c r="G47" i="3"/>
  <c r="F48" i="3"/>
  <c r="F40" i="3"/>
  <c r="G40" i="3"/>
  <c r="F41" i="3"/>
  <c r="F33" i="3"/>
  <c r="G33" i="3"/>
  <c r="F34" i="3"/>
  <c r="F26" i="3"/>
  <c r="F27" i="3"/>
  <c r="G19" i="3"/>
  <c r="G20" i="3"/>
  <c r="F19" i="3"/>
  <c r="F13" i="3"/>
  <c r="F5" i="3"/>
  <c r="G13" i="3"/>
</calcChain>
</file>

<file path=xl/sharedStrings.xml><?xml version="1.0" encoding="utf-8"?>
<sst xmlns="http://schemas.openxmlformats.org/spreadsheetml/2006/main" count="256" uniqueCount="53">
  <si>
    <t>전년</t>
  </si>
  <si>
    <t>10월목표</t>
  </si>
  <si>
    <t/>
  </si>
  <si>
    <t>실판매액 (할인율)</t>
  </si>
  <si>
    <t>ACC</t>
  </si>
  <si>
    <t>당시즌</t>
  </si>
  <si>
    <t>과시즌</t>
  </si>
  <si>
    <t>백화점</t>
  </si>
  <si>
    <t>면세점</t>
  </si>
  <si>
    <t>직영가두</t>
  </si>
  <si>
    <t>직영(몰)</t>
  </si>
  <si>
    <t>온라인(자사)</t>
  </si>
  <si>
    <t>온라인(제휴)</t>
  </si>
  <si>
    <t>대리점</t>
  </si>
  <si>
    <t>아울렛(직영)</t>
  </si>
  <si>
    <t>팩토리아울렛</t>
  </si>
  <si>
    <t>사입</t>
  </si>
  <si>
    <t>직접이익 (이익율)</t>
  </si>
  <si>
    <t>영업이익 (이익율)</t>
  </si>
  <si>
    <t>%</t>
  </si>
  <si>
    <t>진척율</t>
  </si>
  <si>
    <t>전년비</t>
  </si>
  <si>
    <t>구분</t>
  </si>
  <si>
    <t>패션사업부(내수)</t>
  </si>
  <si>
    <t>MLB(내수)</t>
  </si>
  <si>
    <t>MLB KIDS(내수)</t>
  </si>
  <si>
    <t>DISCOVERY</t>
  </si>
  <si>
    <t>DUVETICA</t>
  </si>
  <si>
    <t>목표</t>
  </si>
  <si>
    <t>실적</t>
  </si>
  <si>
    <t>SUPRA</t>
  </si>
  <si>
    <t>10월 목표</t>
  </si>
  <si>
    <t>10월 예상</t>
  </si>
  <si>
    <t>전년</t>
    <phoneticPr fontId="2" type="noConversion"/>
  </si>
  <si>
    <t>실판매출</t>
    <phoneticPr fontId="2" type="noConversion"/>
  </si>
  <si>
    <t>직접이익</t>
    <phoneticPr fontId="2" type="noConversion"/>
  </si>
  <si>
    <t>직접이익율</t>
    <phoneticPr fontId="2" type="noConversion"/>
  </si>
  <si>
    <t>영업이익</t>
    <phoneticPr fontId="2" type="noConversion"/>
  </si>
  <si>
    <t>영업이익율</t>
    <phoneticPr fontId="2" type="noConversion"/>
  </si>
  <si>
    <t>구분</t>
    <phoneticPr fontId="2" type="noConversion"/>
  </si>
  <si>
    <t>실판매출(현시점)</t>
    <phoneticPr fontId="2" type="noConversion"/>
  </si>
  <si>
    <t>당년</t>
    <phoneticPr fontId="2" type="noConversion"/>
  </si>
  <si>
    <t>전년</t>
    <phoneticPr fontId="2" type="noConversion"/>
  </si>
  <si>
    <t>목표</t>
    <phoneticPr fontId="2" type="noConversion"/>
  </si>
  <si>
    <t>전년대비</t>
    <phoneticPr fontId="2" type="noConversion"/>
  </si>
  <si>
    <t>목표대비</t>
    <phoneticPr fontId="2" type="noConversion"/>
  </si>
  <si>
    <t>MLB</t>
    <phoneticPr fontId="2" type="noConversion"/>
  </si>
  <si>
    <t>MLB KIDS</t>
    <phoneticPr fontId="2" type="noConversion"/>
  </si>
  <si>
    <t>DISCOVERY</t>
    <phoneticPr fontId="2" type="noConversion"/>
  </si>
  <si>
    <t>DUVETICA</t>
    <phoneticPr fontId="2" type="noConversion"/>
  </si>
  <si>
    <t>Sergio Tacchini</t>
    <phoneticPr fontId="2" type="noConversion"/>
  </si>
  <si>
    <t>SERGIO</t>
    <phoneticPr fontId="2" type="noConversion"/>
  </si>
  <si>
    <t>SUPRA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</si>
</sst>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76" formatCode="#,##0,,"/>
    <numFmt numFmtId="177" formatCode="0.0%"/>
    <numFmt numFmtId="178" formatCode="#,###,,"/>
    <numFmt numFmtId="179" formatCode="\+0.0%\p;\△0.0%\p"/>
    <numFmt numFmtId="192" formatCode="0.000000000000000%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i/>
      <sz val="10"/>
      <color theme="1"/>
      <name val="맑은 고딕"/>
      <family val="3"/>
      <charset val="129"/>
    </font>
    <font>
      <i/>
      <sz val="10"/>
      <color theme="1"/>
      <name val="맑은 고딕"/>
      <family val="3"/>
      <charset val="129"/>
    </font>
    <font>
      <sz val="10"/>
      <name val="Arial"/>
      <family val="2"/>
    </font>
    <font>
      <sz val="11"/>
      <color theme="0" tint="-0.499984740745262"/>
      <name val="맑은 고딕"/>
      <family val="3"/>
      <charset val="129"/>
    </font>
    <font>
      <i/>
      <sz val="10"/>
      <name val="맑은 고딕"/>
      <family val="3"/>
      <charset val="129"/>
    </font>
    <font>
      <b/>
      <sz val="11"/>
      <color theme="1" tint="0.499984740745262"/>
      <name val="맑은 고딕"/>
      <family val="3"/>
      <charset val="129"/>
    </font>
    <font>
      <b/>
      <i/>
      <sz val="10"/>
      <color theme="1" tint="0.499984740745262"/>
      <name val="맑은 고딕"/>
      <family val="3"/>
      <charset val="129"/>
    </font>
    <font>
      <b/>
      <sz val="10"/>
      <color theme="1" tint="0.499984740745262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thin">
        <color indexed="64"/>
      </bottom>
      <diagonal/>
    </border>
    <border>
      <left/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FF"/>
      </right>
      <top/>
      <bottom/>
      <diagonal/>
    </border>
    <border>
      <left style="medium">
        <color rgb="FF0000F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FF"/>
      </right>
      <top style="thin">
        <color indexed="64"/>
      </top>
      <bottom/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/>
  </cellStyleXfs>
  <cellXfs count="119">
    <xf numFmtId="0" fontId="0" fillId="0" borderId="0" xfId="0">
      <alignment vertical="center"/>
    </xf>
    <xf numFmtId="0" fontId="4" fillId="7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4" borderId="7" xfId="0" applyFont="1" applyFill="1" applyBorder="1">
      <alignment vertical="center"/>
    </xf>
    <xf numFmtId="176" fontId="4" fillId="4" borderId="7" xfId="1" applyNumberFormat="1" applyFont="1" applyFill="1" applyBorder="1">
      <alignment vertical="center"/>
    </xf>
    <xf numFmtId="9" fontId="5" fillId="4" borderId="10" xfId="2" applyFont="1" applyFill="1" applyBorder="1" applyAlignment="1">
      <alignment horizontal="center" vertical="center"/>
    </xf>
    <xf numFmtId="177" fontId="5" fillId="4" borderId="10" xfId="2" applyNumberFormat="1" applyFont="1" applyFill="1" applyBorder="1" applyAlignment="1">
      <alignment horizontal="center" vertical="center"/>
    </xf>
    <xf numFmtId="0" fontId="4" fillId="4" borderId="2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176" fontId="4" fillId="4" borderId="2" xfId="1" applyNumberFormat="1" applyFont="1" applyFill="1" applyBorder="1">
      <alignment vertical="center"/>
    </xf>
    <xf numFmtId="9" fontId="5" fillId="4" borderId="0" xfId="2" applyFont="1" applyFill="1" applyBorder="1" applyAlignment="1">
      <alignment horizontal="center" vertical="center"/>
    </xf>
    <xf numFmtId="176" fontId="3" fillId="0" borderId="2" xfId="1" applyNumberFormat="1" applyFont="1" applyBorder="1">
      <alignment vertical="center"/>
    </xf>
    <xf numFmtId="9" fontId="6" fillId="0" borderId="0" xfId="2" applyFont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76" fontId="3" fillId="2" borderId="2" xfId="1" applyNumberFormat="1" applyFont="1" applyFill="1" applyBorder="1">
      <alignment vertical="center"/>
    </xf>
    <xf numFmtId="9" fontId="6" fillId="2" borderId="0" xfId="2" applyFont="1" applyFill="1" applyAlignment="1">
      <alignment horizontal="center" vertical="center"/>
    </xf>
    <xf numFmtId="9" fontId="6" fillId="2" borderId="0" xfId="2" applyFont="1" applyFill="1" applyBorder="1" applyAlignment="1">
      <alignment horizontal="center" vertical="center"/>
    </xf>
    <xf numFmtId="176" fontId="6" fillId="2" borderId="0" xfId="1" applyNumberFormat="1" applyFont="1" applyFill="1" applyBorder="1" applyAlignment="1">
      <alignment horizontal="center" vertical="center"/>
    </xf>
    <xf numFmtId="0" fontId="4" fillId="4" borderId="5" xfId="0" applyFont="1" applyFill="1" applyBorder="1">
      <alignment vertical="center"/>
    </xf>
    <xf numFmtId="176" fontId="4" fillId="4" borderId="5" xfId="1" applyNumberFormat="1" applyFont="1" applyFill="1" applyBorder="1">
      <alignment vertical="center"/>
    </xf>
    <xf numFmtId="9" fontId="5" fillId="4" borderId="1" xfId="2" applyFont="1" applyFill="1" applyBorder="1" applyAlignment="1">
      <alignment horizontal="center" vertical="center"/>
    </xf>
    <xf numFmtId="177" fontId="5" fillId="4" borderId="1" xfId="2" applyNumberFormat="1" applyFont="1" applyFill="1" applyBorder="1" applyAlignment="1">
      <alignment horizontal="center" vertical="center"/>
    </xf>
    <xf numFmtId="177" fontId="6" fillId="2" borderId="0" xfId="2" applyNumberFormat="1" applyFont="1" applyFill="1" applyBorder="1" applyAlignment="1">
      <alignment horizontal="center" vertical="center"/>
    </xf>
    <xf numFmtId="176" fontId="3" fillId="0" borderId="2" xfId="1" applyNumberFormat="1" applyFont="1" applyFill="1" applyBorder="1">
      <alignment vertical="center"/>
    </xf>
    <xf numFmtId="9" fontId="3" fillId="0" borderId="0" xfId="2" applyFont="1" applyAlignment="1">
      <alignment horizontal="center" vertical="center"/>
    </xf>
    <xf numFmtId="9" fontId="3" fillId="0" borderId="0" xfId="2" applyFont="1" applyFill="1" applyAlignment="1">
      <alignment horizontal="center" vertical="center"/>
    </xf>
    <xf numFmtId="9" fontId="6" fillId="0" borderId="0" xfId="2" applyFont="1" applyFill="1" applyBorder="1" applyAlignment="1">
      <alignment horizontal="center" vertical="center"/>
    </xf>
    <xf numFmtId="176" fontId="6" fillId="0" borderId="0" xfId="1" applyNumberFormat="1" applyFont="1" applyFill="1" applyBorder="1" applyAlignment="1">
      <alignment horizontal="center" vertical="center"/>
    </xf>
    <xf numFmtId="9" fontId="6" fillId="0" borderId="0" xfId="2" applyFont="1" applyFill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76" fontId="3" fillId="4" borderId="2" xfId="1" applyNumberFormat="1" applyFont="1" applyFill="1" applyBorder="1">
      <alignment vertical="center"/>
    </xf>
    <xf numFmtId="176" fontId="6" fillId="4" borderId="0" xfId="1" applyNumberFormat="1" applyFont="1" applyFill="1" applyBorder="1" applyAlignment="1">
      <alignment horizontal="center" vertical="center"/>
    </xf>
    <xf numFmtId="177" fontId="6" fillId="4" borderId="0" xfId="2" applyNumberFormat="1" applyFont="1" applyFill="1" applyBorder="1" applyAlignment="1">
      <alignment horizontal="center" vertical="center"/>
    </xf>
    <xf numFmtId="9" fontId="4" fillId="4" borderId="2" xfId="2" applyFont="1" applyFill="1" applyBorder="1" applyAlignment="1">
      <alignment horizontal="center" vertical="center"/>
    </xf>
    <xf numFmtId="9" fontId="4" fillId="4" borderId="9" xfId="2" applyFont="1" applyFill="1" applyBorder="1" applyAlignment="1">
      <alignment horizontal="center" vertical="center"/>
    </xf>
    <xf numFmtId="9" fontId="3" fillId="0" borderId="2" xfId="2" applyFont="1" applyFill="1" applyBorder="1" applyAlignment="1">
      <alignment horizontal="center" vertical="center"/>
    </xf>
    <xf numFmtId="9" fontId="3" fillId="0" borderId="9" xfId="2" applyFont="1" applyFill="1" applyBorder="1" applyAlignment="1">
      <alignment horizontal="center" vertical="center"/>
    </xf>
    <xf numFmtId="9" fontId="3" fillId="4" borderId="2" xfId="2" applyFont="1" applyFill="1" applyBorder="1" applyAlignment="1">
      <alignment horizontal="center" vertical="center"/>
    </xf>
    <xf numFmtId="9" fontId="3" fillId="4" borderId="9" xfId="2" applyFont="1" applyFill="1" applyBorder="1" applyAlignment="1">
      <alignment horizontal="center" vertical="center"/>
    </xf>
    <xf numFmtId="9" fontId="3" fillId="0" borderId="2" xfId="2" applyFont="1" applyBorder="1" applyAlignment="1">
      <alignment horizontal="center" vertical="center"/>
    </xf>
    <xf numFmtId="9" fontId="3" fillId="0" borderId="9" xfId="2" applyFont="1" applyBorder="1" applyAlignment="1">
      <alignment horizontal="center" vertical="center"/>
    </xf>
    <xf numFmtId="9" fontId="4" fillId="4" borderId="5" xfId="2" applyFont="1" applyFill="1" applyBorder="1" applyAlignment="1">
      <alignment horizontal="center" vertical="center"/>
    </xf>
    <xf numFmtId="9" fontId="4" fillId="4" borderId="6" xfId="2" applyFont="1" applyFill="1" applyBorder="1" applyAlignment="1">
      <alignment horizontal="center" vertical="center"/>
    </xf>
    <xf numFmtId="9" fontId="3" fillId="2" borderId="2" xfId="2" applyFont="1" applyFill="1" applyBorder="1" applyAlignment="1">
      <alignment horizontal="center" vertical="center"/>
    </xf>
    <xf numFmtId="9" fontId="3" fillId="2" borderId="9" xfId="2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9" fontId="4" fillId="4" borderId="8" xfId="2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4" fillId="4" borderId="1" xfId="0" applyFont="1" applyFill="1" applyBorder="1">
      <alignment vertical="center"/>
    </xf>
    <xf numFmtId="0" fontId="4" fillId="4" borderId="10" xfId="0" applyFont="1" applyFill="1" applyBorder="1">
      <alignment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176" fontId="4" fillId="4" borderId="15" xfId="0" applyNumberFormat="1" applyFont="1" applyFill="1" applyBorder="1">
      <alignment vertical="center"/>
    </xf>
    <xf numFmtId="176" fontId="4" fillId="4" borderId="16" xfId="0" applyNumberFormat="1" applyFont="1" applyFill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176" fontId="4" fillId="4" borderId="17" xfId="0" applyNumberFormat="1" applyFont="1" applyFill="1" applyBorder="1">
      <alignment vertical="center"/>
    </xf>
    <xf numFmtId="176" fontId="4" fillId="4" borderId="18" xfId="0" applyNumberFormat="1" applyFont="1" applyFill="1" applyBorder="1">
      <alignment vertical="center"/>
    </xf>
    <xf numFmtId="176" fontId="4" fillId="4" borderId="19" xfId="0" applyNumberFormat="1" applyFont="1" applyFill="1" applyBorder="1">
      <alignment vertical="center"/>
    </xf>
    <xf numFmtId="176" fontId="4" fillId="3" borderId="20" xfId="0" applyNumberFormat="1" applyFont="1" applyFill="1" applyBorder="1">
      <alignment vertical="center"/>
    </xf>
    <xf numFmtId="177" fontId="8" fillId="0" borderId="16" xfId="2" applyNumberFormat="1" applyFont="1" applyBorder="1">
      <alignment vertical="center"/>
    </xf>
    <xf numFmtId="176" fontId="3" fillId="6" borderId="2" xfId="1" applyNumberFormat="1" applyFont="1" applyFill="1" applyBorder="1">
      <alignment vertical="center"/>
    </xf>
    <xf numFmtId="9" fontId="3" fillId="6" borderId="9" xfId="2" applyFont="1" applyFill="1" applyBorder="1" applyAlignment="1">
      <alignment horizontal="center" vertical="center"/>
    </xf>
    <xf numFmtId="9" fontId="3" fillId="6" borderId="2" xfId="2" applyFont="1" applyFill="1" applyBorder="1" applyAlignment="1">
      <alignment horizontal="center" vertical="center"/>
    </xf>
    <xf numFmtId="177" fontId="5" fillId="4" borderId="0" xfId="2" applyNumberFormat="1" applyFont="1" applyFill="1" applyAlignment="1">
      <alignment horizontal="center" vertical="center"/>
    </xf>
    <xf numFmtId="9" fontId="9" fillId="2" borderId="0" xfId="2" applyFont="1" applyFill="1" applyBorder="1" applyAlignment="1">
      <alignment horizontal="center" vertical="center"/>
    </xf>
    <xf numFmtId="177" fontId="5" fillId="4" borderId="0" xfId="2" applyNumberFormat="1" applyFont="1" applyFill="1" applyBorder="1" applyAlignment="1">
      <alignment horizontal="center" vertical="center"/>
    </xf>
    <xf numFmtId="0" fontId="10" fillId="4" borderId="2" xfId="0" applyFont="1" applyFill="1" applyBorder="1">
      <alignment vertical="center"/>
    </xf>
    <xf numFmtId="0" fontId="10" fillId="4" borderId="9" xfId="0" applyFont="1" applyFill="1" applyBorder="1" applyAlignment="1">
      <alignment horizontal="right" vertical="center"/>
    </xf>
    <xf numFmtId="176" fontId="10" fillId="4" borderId="2" xfId="1" applyNumberFormat="1" applyFont="1" applyFill="1" applyBorder="1">
      <alignment vertical="center"/>
    </xf>
    <xf numFmtId="176" fontId="10" fillId="4" borderId="15" xfId="0" applyNumberFormat="1" applyFont="1" applyFill="1" applyBorder="1">
      <alignment vertical="center"/>
    </xf>
    <xf numFmtId="176" fontId="10" fillId="4" borderId="16" xfId="0" applyNumberFormat="1" applyFont="1" applyFill="1" applyBorder="1">
      <alignment vertical="center"/>
    </xf>
    <xf numFmtId="177" fontId="11" fillId="4" borderId="0" xfId="2" applyNumberFormat="1" applyFont="1" applyFill="1" applyAlignment="1">
      <alignment horizontal="center" vertical="center"/>
    </xf>
    <xf numFmtId="9" fontId="10" fillId="4" borderId="2" xfId="2" applyFont="1" applyFill="1" applyBorder="1" applyAlignment="1">
      <alignment horizontal="center" vertical="center"/>
    </xf>
    <xf numFmtId="9" fontId="10" fillId="4" borderId="9" xfId="2" applyFont="1" applyFill="1" applyBorder="1" applyAlignment="1">
      <alignment horizontal="center" vertical="center"/>
    </xf>
    <xf numFmtId="177" fontId="11" fillId="4" borderId="0" xfId="2" applyNumberFormat="1" applyFont="1" applyFill="1" applyBorder="1" applyAlignment="1">
      <alignment horizontal="center" vertical="center"/>
    </xf>
    <xf numFmtId="177" fontId="12" fillId="4" borderId="0" xfId="2" applyNumberFormat="1" applyFont="1" applyFill="1" applyBorder="1" applyAlignment="1">
      <alignment horizontal="center" vertical="center"/>
    </xf>
    <xf numFmtId="9" fontId="12" fillId="4" borderId="0" xfId="2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176" fontId="4" fillId="3" borderId="2" xfId="1" applyNumberFormat="1" applyFont="1" applyFill="1" applyBorder="1">
      <alignment vertical="center"/>
    </xf>
    <xf numFmtId="9" fontId="0" fillId="0" borderId="0" xfId="2" applyFont="1">
      <alignment vertical="center"/>
    </xf>
    <xf numFmtId="41" fontId="0" fillId="0" borderId="0" xfId="1" applyFont="1">
      <alignment vertical="center"/>
    </xf>
    <xf numFmtId="178" fontId="0" fillId="0" borderId="0" xfId="1" applyNumberFormat="1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7" fontId="0" fillId="9" borderId="0" xfId="2" applyNumberFormat="1" applyFont="1" applyFill="1">
      <alignment vertical="center"/>
    </xf>
    <xf numFmtId="179" fontId="0" fillId="9" borderId="0" xfId="2" applyNumberFormat="1" applyFont="1" applyFill="1">
      <alignment vertical="center"/>
    </xf>
    <xf numFmtId="192" fontId="0" fillId="0" borderId="0" xfId="0" applyNumberFormat="1">
      <alignment vertical="center"/>
    </xf>
    <xf numFmtId="41" fontId="0" fillId="0" borderId="0" xfId="1" applyFont="1">
      <alignment vertical="center"/>
    </xf>
    <xf numFmtId="9" fontId="0" fillId="0" borderId="0" xfId="2" applyFont="1">
      <alignment vertical="center"/>
    </xf>
  </cellXfs>
  <cellStyles count="7">
    <cellStyle name="백분율" xfId="2" builtinId="5"/>
    <cellStyle name="백분율 7 2" xfId="4" xr:uid="{694B0A54-88F0-4851-A873-1CB90608BFB6}"/>
    <cellStyle name="쉼표 [0]" xfId="1" builtinId="6"/>
    <cellStyle name="표준" xfId="0" builtinId="0"/>
    <cellStyle name="표준 2" xfId="6" xr:uid="{E79766DD-312F-47CE-BD9E-6A179ADFCF79}"/>
    <cellStyle name="표준 3" xfId="5" xr:uid="{A8D2D46D-FD04-4B75-8CBC-C3AF2AAB47A9}"/>
    <cellStyle name="표준 51" xfId="3" xr:uid="{29866DC7-2623-4346-B923-EEC5B16FF4A1}"/>
  </cellStyles>
  <dxfs count="0"/>
  <tableStyles count="1" defaultTableStyle="TableStyleMedium2" defaultPivotStyle="PivotStyleLight16">
    <tableStyle name="Invisible" pivot="0" table="0" count="0" xr9:uid="{45FCE270-3756-4BF2-B8FB-F690EE1E21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BA5F-367E-434A-A198-5E2911199BD2}">
  <dimension ref="A1:BA28"/>
  <sheetViews>
    <sheetView tabSelected="1" topLeftCell="AC1" workbookViewId="0">
      <selection activeCell="AO23" sqref="AO23"/>
    </sheetView>
    <sheetView workbookViewId="1">
      <selection sqref="A1:B2"/>
    </sheetView>
  </sheetViews>
  <sheetFormatPr defaultRowHeight="16.5" x14ac:dyDescent="0.3"/>
  <cols>
    <col min="2" max="2" width="13" bestFit="1" customWidth="1"/>
  </cols>
  <sheetData>
    <row r="1" spans="1:53" x14ac:dyDescent="0.3">
      <c r="A1" s="92" t="s">
        <v>22</v>
      </c>
      <c r="B1" s="93"/>
      <c r="C1" s="107"/>
      <c r="D1" s="96" t="s">
        <v>23</v>
      </c>
      <c r="E1" s="97"/>
      <c r="F1" s="98" t="s">
        <v>24</v>
      </c>
      <c r="G1" s="99"/>
      <c r="H1" s="99"/>
      <c r="I1" s="99"/>
      <c r="J1" s="99"/>
      <c r="K1" s="99"/>
      <c r="L1" s="99"/>
      <c r="M1" s="99"/>
      <c r="N1" s="100" t="s">
        <v>25</v>
      </c>
      <c r="O1" s="101"/>
      <c r="P1" s="101"/>
      <c r="Q1" s="101"/>
      <c r="R1" s="101"/>
      <c r="S1" s="101"/>
      <c r="T1" s="101"/>
      <c r="U1" s="101"/>
      <c r="V1" s="105" t="s">
        <v>26</v>
      </c>
      <c r="W1" s="106"/>
      <c r="X1" s="106"/>
      <c r="Y1" s="106"/>
      <c r="Z1" s="106"/>
      <c r="AA1" s="106"/>
      <c r="AB1" s="106"/>
      <c r="AC1" s="106"/>
      <c r="AD1" s="102" t="s">
        <v>49</v>
      </c>
      <c r="AE1" s="103"/>
      <c r="AF1" s="103"/>
      <c r="AG1" s="103"/>
      <c r="AH1" s="103"/>
      <c r="AI1" s="103"/>
      <c r="AJ1" s="103"/>
      <c r="AK1" s="104"/>
      <c r="AL1" s="102" t="s">
        <v>50</v>
      </c>
      <c r="AM1" s="103"/>
      <c r="AN1" s="103"/>
      <c r="AO1" s="103"/>
      <c r="AP1" s="103"/>
      <c r="AQ1" s="103"/>
      <c r="AR1" s="103"/>
      <c r="AS1" s="104"/>
      <c r="AT1" s="102" t="s">
        <v>30</v>
      </c>
      <c r="AU1" s="103"/>
      <c r="AV1" s="103"/>
      <c r="AW1" s="103"/>
      <c r="AX1" s="103"/>
      <c r="AY1" s="103"/>
      <c r="AZ1" s="103"/>
      <c r="BA1" s="104"/>
    </row>
    <row r="2" spans="1:53" x14ac:dyDescent="0.3">
      <c r="A2" s="94"/>
      <c r="B2" s="95"/>
      <c r="C2" s="8" t="s">
        <v>33</v>
      </c>
      <c r="D2" s="62" t="s">
        <v>28</v>
      </c>
      <c r="E2" s="63" t="s">
        <v>29</v>
      </c>
      <c r="F2" s="8" t="s">
        <v>0</v>
      </c>
      <c r="G2" s="1" t="s">
        <v>19</v>
      </c>
      <c r="H2" s="8" t="s">
        <v>31</v>
      </c>
      <c r="I2" s="1" t="s">
        <v>19</v>
      </c>
      <c r="J2" s="8" t="s">
        <v>32</v>
      </c>
      <c r="K2" s="36" t="s">
        <v>19</v>
      </c>
      <c r="L2" s="8" t="s">
        <v>20</v>
      </c>
      <c r="M2" s="1" t="s">
        <v>21</v>
      </c>
      <c r="N2" s="4" t="s">
        <v>0</v>
      </c>
      <c r="O2" s="5" t="s">
        <v>19</v>
      </c>
      <c r="P2" s="4" t="s">
        <v>31</v>
      </c>
      <c r="Q2" s="5" t="s">
        <v>19</v>
      </c>
      <c r="R2" s="4" t="s">
        <v>32</v>
      </c>
      <c r="S2" s="5" t="s">
        <v>19</v>
      </c>
      <c r="T2" s="4" t="s">
        <v>20</v>
      </c>
      <c r="U2" s="54" t="s">
        <v>21</v>
      </c>
      <c r="V2" s="6" t="s">
        <v>0</v>
      </c>
      <c r="W2" s="7" t="s">
        <v>19</v>
      </c>
      <c r="X2" s="6" t="s">
        <v>31</v>
      </c>
      <c r="Y2" s="7" t="s">
        <v>19</v>
      </c>
      <c r="Z2" s="6" t="s">
        <v>32</v>
      </c>
      <c r="AA2" s="7" t="s">
        <v>19</v>
      </c>
      <c r="AB2" s="6" t="s">
        <v>20</v>
      </c>
      <c r="AC2" s="55" t="s">
        <v>21</v>
      </c>
      <c r="AD2" s="57" t="s">
        <v>0</v>
      </c>
      <c r="AE2" s="58" t="s">
        <v>19</v>
      </c>
      <c r="AF2" s="57" t="s">
        <v>1</v>
      </c>
      <c r="AG2" s="58" t="s">
        <v>19</v>
      </c>
      <c r="AH2" s="57" t="s">
        <v>32</v>
      </c>
      <c r="AI2" s="58" t="s">
        <v>19</v>
      </c>
      <c r="AJ2" s="3" t="s">
        <v>20</v>
      </c>
      <c r="AK2" s="2" t="s">
        <v>21</v>
      </c>
      <c r="AL2" s="57" t="s">
        <v>0</v>
      </c>
      <c r="AM2" s="58" t="s">
        <v>19</v>
      </c>
      <c r="AN2" s="57" t="s">
        <v>1</v>
      </c>
      <c r="AO2" s="58" t="s">
        <v>19</v>
      </c>
      <c r="AP2" s="57" t="s">
        <v>32</v>
      </c>
      <c r="AQ2" s="58" t="s">
        <v>19</v>
      </c>
      <c r="AR2" s="3" t="s">
        <v>20</v>
      </c>
      <c r="AS2" s="2" t="s">
        <v>21</v>
      </c>
      <c r="AT2" s="57" t="s">
        <v>0</v>
      </c>
      <c r="AU2" s="58" t="s">
        <v>19</v>
      </c>
      <c r="AV2" s="57" t="s">
        <v>1</v>
      </c>
      <c r="AW2" s="58" t="s">
        <v>19</v>
      </c>
      <c r="AX2" s="57" t="s">
        <v>32</v>
      </c>
      <c r="AY2" s="58" t="s">
        <v>19</v>
      </c>
      <c r="AZ2" s="3" t="s">
        <v>20</v>
      </c>
      <c r="BA2" s="2" t="s">
        <v>21</v>
      </c>
    </row>
    <row r="3" spans="1:53" x14ac:dyDescent="0.3">
      <c r="A3" s="13" t="s">
        <v>3</v>
      </c>
      <c r="B3" s="56"/>
      <c r="C3" s="108">
        <f>F3+N3+V3+AD3+AL3+AT3</f>
        <v>91660033000</v>
      </c>
      <c r="D3" s="64">
        <v>92926577000</v>
      </c>
      <c r="E3" s="65">
        <v>88159503953</v>
      </c>
      <c r="F3" s="16">
        <v>33418812000</v>
      </c>
      <c r="G3" s="78">
        <v>0.25877353222626565</v>
      </c>
      <c r="H3" s="16">
        <v>33130103000</v>
      </c>
      <c r="I3" s="78">
        <v>0.28695389242545932</v>
      </c>
      <c r="J3" s="16">
        <v>34929566838</v>
      </c>
      <c r="K3" s="78">
        <v>0.2606343512075513</v>
      </c>
      <c r="L3" s="40">
        <v>1.0543150692287313</v>
      </c>
      <c r="M3" s="41">
        <v>1.0452067188384793</v>
      </c>
      <c r="N3" s="16">
        <v>8620315000</v>
      </c>
      <c r="O3" s="80">
        <v>0.501208772317705</v>
      </c>
      <c r="P3" s="16">
        <v>8900803000</v>
      </c>
      <c r="Q3" s="80">
        <v>0.48318583587788122</v>
      </c>
      <c r="R3" s="16">
        <v>7948281350</v>
      </c>
      <c r="S3" s="80">
        <v>0.38632049877251839</v>
      </c>
      <c r="T3" s="40">
        <v>0.89298475092640517</v>
      </c>
      <c r="U3" s="41">
        <v>0.92204070848919095</v>
      </c>
      <c r="V3" s="16">
        <v>46417621000</v>
      </c>
      <c r="W3" s="80">
        <v>0.37229556003328379</v>
      </c>
      <c r="X3" s="16">
        <v>45899671000</v>
      </c>
      <c r="Y3" s="80">
        <v>0.29981261081612687</v>
      </c>
      <c r="Z3" s="16">
        <v>40320745553</v>
      </c>
      <c r="AA3" s="80">
        <v>0.28851690898948856</v>
      </c>
      <c r="AB3" s="48">
        <v>0.87845391207706047</v>
      </c>
      <c r="AC3" s="49">
        <v>0.86865170347700504</v>
      </c>
      <c r="AD3" s="16">
        <v>1851054000</v>
      </c>
      <c r="AE3" s="80">
        <v>0.53512783988170343</v>
      </c>
      <c r="AF3" s="16">
        <v>3250000000</v>
      </c>
      <c r="AG3" s="80">
        <v>0.40075464350617163</v>
      </c>
      <c r="AH3" s="16">
        <v>3867352390</v>
      </c>
      <c r="AI3" s="80">
        <v>0.39556261319469577</v>
      </c>
      <c r="AJ3" s="40">
        <v>1.1899545815384616</v>
      </c>
      <c r="AK3" s="41">
        <v>2.0892704318728681</v>
      </c>
      <c r="AL3" s="16">
        <v>1028039000</v>
      </c>
      <c r="AM3" s="17">
        <v>0.24441065164169073</v>
      </c>
      <c r="AN3" s="16">
        <v>1346000000</v>
      </c>
      <c r="AO3" s="17">
        <v>0.32472364340190785</v>
      </c>
      <c r="AP3" s="16">
        <v>843000140</v>
      </c>
      <c r="AQ3" s="17">
        <v>0.5341102542298104</v>
      </c>
      <c r="AR3" s="40">
        <v>0.6263002526002972</v>
      </c>
      <c r="AS3" s="41">
        <v>0.82000793744206202</v>
      </c>
      <c r="AT3" s="16">
        <v>324192000</v>
      </c>
      <c r="AU3" s="80">
        <v>0.13815626819367244</v>
      </c>
      <c r="AV3" s="16">
        <v>400000000</v>
      </c>
      <c r="AW3" s="80">
        <v>6.8543551410574333E-2</v>
      </c>
      <c r="AX3" s="16">
        <v>250557682</v>
      </c>
      <c r="AY3" s="80">
        <v>0.77565912633437961</v>
      </c>
      <c r="AZ3" s="40">
        <v>0.62639420499999998</v>
      </c>
      <c r="BA3" s="41">
        <v>0.77286818305201854</v>
      </c>
    </row>
    <row r="4" spans="1:53" x14ac:dyDescent="0.3">
      <c r="A4" s="81"/>
      <c r="B4" s="82" t="s">
        <v>4</v>
      </c>
      <c r="C4" s="83">
        <f t="shared" ref="C4:C28" si="0">F4+N4+V4+AD4+AL4+AT4</f>
        <v>28809877000</v>
      </c>
      <c r="D4" s="84">
        <v>28784807000</v>
      </c>
      <c r="E4" s="85">
        <v>26771130845</v>
      </c>
      <c r="F4" s="83">
        <v>19859104000</v>
      </c>
      <c r="G4" s="86">
        <v>0.10824967782606787</v>
      </c>
      <c r="H4" s="83">
        <v>21085900000</v>
      </c>
      <c r="I4" s="86">
        <v>0.16894374637647747</v>
      </c>
      <c r="J4" s="83">
        <v>20533736941</v>
      </c>
      <c r="K4" s="86">
        <v>7.6026230436745501E-2</v>
      </c>
      <c r="L4" s="87">
        <v>0.9738136356996856</v>
      </c>
      <c r="M4" s="88">
        <v>1.0339709657092284</v>
      </c>
      <c r="N4" s="83">
        <v>2367559000</v>
      </c>
      <c r="O4" s="89">
        <v>0.3031180092777922</v>
      </c>
      <c r="P4" s="83">
        <v>1919151000</v>
      </c>
      <c r="Q4" s="89">
        <v>0.264143889769069</v>
      </c>
      <c r="R4" s="83">
        <v>1562587600</v>
      </c>
      <c r="S4" s="89">
        <v>9.6287705968342352E-2</v>
      </c>
      <c r="T4" s="87">
        <v>0.8142077408187266</v>
      </c>
      <c r="U4" s="88">
        <v>0.65999943401621675</v>
      </c>
      <c r="V4" s="83">
        <v>6583214000</v>
      </c>
      <c r="W4" s="89">
        <v>0.33169790925599274</v>
      </c>
      <c r="X4" s="83">
        <v>5779756000</v>
      </c>
      <c r="Y4" s="89">
        <v>0.23293944836462555</v>
      </c>
      <c r="Z4" s="83">
        <v>4674806304</v>
      </c>
      <c r="AA4" s="89">
        <v>0.19404518602638854</v>
      </c>
      <c r="AB4" s="87">
        <v>0.80882416212725938</v>
      </c>
      <c r="AC4" s="88">
        <v>0.71011003196918709</v>
      </c>
      <c r="AD4" s="83"/>
      <c r="AE4" s="90"/>
      <c r="AF4" s="83"/>
      <c r="AG4" s="90"/>
      <c r="AH4" s="83"/>
      <c r="AI4" s="90"/>
      <c r="AJ4" s="87"/>
      <c r="AK4" s="88"/>
      <c r="AL4" s="83"/>
      <c r="AM4" s="91"/>
      <c r="AN4" s="83"/>
      <c r="AO4" s="91"/>
      <c r="AP4" s="83"/>
      <c r="AQ4" s="91"/>
      <c r="AR4" s="87"/>
      <c r="AS4" s="88"/>
      <c r="AT4" s="83"/>
      <c r="AU4" s="91"/>
      <c r="AV4" s="83"/>
      <c r="AW4" s="91"/>
      <c r="AX4" s="83"/>
      <c r="AY4" s="91"/>
      <c r="AZ4" s="87"/>
      <c r="BA4" s="88"/>
    </row>
    <row r="5" spans="1:53" x14ac:dyDescent="0.3">
      <c r="A5" s="81"/>
      <c r="B5" s="82" t="s">
        <v>5</v>
      </c>
      <c r="C5" s="83">
        <f t="shared" si="0"/>
        <v>37463661000</v>
      </c>
      <c r="D5" s="84">
        <v>38970237000</v>
      </c>
      <c r="E5" s="85">
        <v>37046540109</v>
      </c>
      <c r="F5" s="83">
        <v>11699497000</v>
      </c>
      <c r="G5" s="86">
        <v>4.2701599141634627E-2</v>
      </c>
      <c r="H5" s="83">
        <v>11890000000</v>
      </c>
      <c r="I5" s="86">
        <v>3.8649523310849032E-2</v>
      </c>
      <c r="J5" s="83">
        <v>11224498341</v>
      </c>
      <c r="K5" s="86">
        <v>4.4531988340845485E-2</v>
      </c>
      <c r="L5" s="87">
        <v>0.94402845592935236</v>
      </c>
      <c r="M5" s="88">
        <v>0.95940007856748033</v>
      </c>
      <c r="N5" s="83">
        <v>4245451000</v>
      </c>
      <c r="O5" s="89">
        <v>4.7131350828941376E-2</v>
      </c>
      <c r="P5" s="83">
        <v>4795000000</v>
      </c>
      <c r="Q5" s="89">
        <v>4.9493347246345576E-2</v>
      </c>
      <c r="R5" s="83">
        <v>4685204230</v>
      </c>
      <c r="S5" s="89">
        <v>3.8062459731528664E-2</v>
      </c>
      <c r="T5" s="87">
        <v>0.97710202919708034</v>
      </c>
      <c r="U5" s="88">
        <v>1.1035822177667343</v>
      </c>
      <c r="V5" s="83">
        <v>20045980000</v>
      </c>
      <c r="W5" s="89">
        <v>9.3000000000000007</v>
      </c>
      <c r="X5" s="83">
        <v>19500000000</v>
      </c>
      <c r="Y5" s="89">
        <v>6.9999958507690474E-2</v>
      </c>
      <c r="Z5" s="83">
        <v>18867357689</v>
      </c>
      <c r="AA5" s="89">
        <v>7.4859284189925823E-2</v>
      </c>
      <c r="AB5" s="87">
        <v>0.96755680456410253</v>
      </c>
      <c r="AC5" s="88">
        <v>0.94120405632450999</v>
      </c>
      <c r="AD5" s="83">
        <v>597337000</v>
      </c>
      <c r="AE5" s="90">
        <v>0.15631201386426974</v>
      </c>
      <c r="AF5" s="83">
        <v>1870817000</v>
      </c>
      <c r="AG5" s="90">
        <v>0.16300009037440955</v>
      </c>
      <c r="AH5" s="83">
        <v>1894509999</v>
      </c>
      <c r="AI5" s="90">
        <v>0.17915831394071691</v>
      </c>
      <c r="AJ5" s="87">
        <v>1.0126645198327788</v>
      </c>
      <c r="AK5" s="88">
        <v>3.1715932530548083</v>
      </c>
      <c r="AL5" s="83">
        <v>652776000</v>
      </c>
      <c r="AM5" s="91">
        <v>0.20658577465867223</v>
      </c>
      <c r="AN5" s="83">
        <v>735420000</v>
      </c>
      <c r="AO5" s="91">
        <v>0.15000000000000002</v>
      </c>
      <c r="AP5" s="83">
        <v>349230520</v>
      </c>
      <c r="AQ5" s="91">
        <v>0.13999745863384827</v>
      </c>
      <c r="AR5" s="87">
        <v>0.47487220907780586</v>
      </c>
      <c r="AS5" s="88">
        <v>0.53499289189553534</v>
      </c>
      <c r="AT5" s="83">
        <v>222620000</v>
      </c>
      <c r="AU5" s="90">
        <v>5.4354844190709239E-2</v>
      </c>
      <c r="AV5" s="83">
        <v>179000000</v>
      </c>
      <c r="AW5" s="90">
        <v>5.4056196460373407E-2</v>
      </c>
      <c r="AX5" s="83">
        <v>25739330</v>
      </c>
      <c r="AY5" s="90">
        <v>0.602849405955871</v>
      </c>
      <c r="AZ5" s="87">
        <v>0.14379513966480448</v>
      </c>
      <c r="BA5" s="88">
        <v>0.11562002515497261</v>
      </c>
    </row>
    <row r="6" spans="1:53" x14ac:dyDescent="0.3">
      <c r="A6" s="81"/>
      <c r="B6" s="82" t="s">
        <v>6</v>
      </c>
      <c r="C6" s="83">
        <f t="shared" si="0"/>
        <v>25386495000</v>
      </c>
      <c r="D6" s="84">
        <v>25171533000</v>
      </c>
      <c r="E6" s="85">
        <v>24449860718</v>
      </c>
      <c r="F6" s="83">
        <v>1860211000</v>
      </c>
      <c r="G6" s="86">
        <v>0.82441994363198068</v>
      </c>
      <c r="H6" s="83">
        <v>154203000</v>
      </c>
      <c r="I6" s="86">
        <v>0.98232093617878946</v>
      </c>
      <c r="J6" s="83">
        <v>3171331556</v>
      </c>
      <c r="K6" s="86">
        <v>0.7610452243389515</v>
      </c>
      <c r="L6" s="87">
        <v>20.565952387437338</v>
      </c>
      <c r="M6" s="88">
        <v>1.7048235689392224</v>
      </c>
      <c r="N6" s="83">
        <v>2007305000</v>
      </c>
      <c r="O6" s="89">
        <v>0.78712744080905162</v>
      </c>
      <c r="P6" s="83">
        <v>2186652000</v>
      </c>
      <c r="Q6" s="89">
        <v>0.77150288921905086</v>
      </c>
      <c r="R6" s="83">
        <v>1700489520</v>
      </c>
      <c r="S6" s="89">
        <v>0.73229815227126072</v>
      </c>
      <c r="T6" s="87">
        <v>0.77766810631046912</v>
      </c>
      <c r="U6" s="88">
        <v>0.8471505426429965</v>
      </c>
      <c r="V6" s="83">
        <v>19788427000</v>
      </c>
      <c r="W6" s="89">
        <v>0.7024866410272198</v>
      </c>
      <c r="X6" s="83">
        <v>20619915000</v>
      </c>
      <c r="Y6" s="89">
        <v>0.44346802038545641</v>
      </c>
      <c r="Z6" s="83">
        <v>16791281670</v>
      </c>
      <c r="AA6" s="89">
        <v>0.44937374175599309</v>
      </c>
      <c r="AB6" s="87">
        <v>0.81432351539761438</v>
      </c>
      <c r="AC6" s="88">
        <v>0.84854049642247964</v>
      </c>
      <c r="AD6" s="83">
        <v>1253717000</v>
      </c>
      <c r="AE6" s="90">
        <v>0.61705106130429344</v>
      </c>
      <c r="AF6" s="83">
        <v>1379183000</v>
      </c>
      <c r="AG6" s="90">
        <v>0.56742953941906493</v>
      </c>
      <c r="AH6" s="83">
        <v>2067500730</v>
      </c>
      <c r="AI6" s="90">
        <v>0.52840490285372521</v>
      </c>
      <c r="AJ6" s="87">
        <v>1.4990764314815366</v>
      </c>
      <c r="AK6" s="88">
        <v>1.6490968296673014</v>
      </c>
      <c r="AL6" s="83">
        <v>375263000</v>
      </c>
      <c r="AM6" s="91">
        <v>0.30227243992592534</v>
      </c>
      <c r="AN6" s="83">
        <v>610580000</v>
      </c>
      <c r="AO6" s="91">
        <v>0.45873350483751718</v>
      </c>
      <c r="AP6" s="83">
        <v>493987850</v>
      </c>
      <c r="AQ6" s="91">
        <v>0.64811391901107029</v>
      </c>
      <c r="AR6" s="87">
        <v>0.80904688984244488</v>
      </c>
      <c r="AS6" s="88">
        <v>1.3163777137634138</v>
      </c>
      <c r="AT6" s="83">
        <v>101572000</v>
      </c>
      <c r="AU6" s="90">
        <v>0.27832605065899318</v>
      </c>
      <c r="AV6" s="83">
        <v>221000000</v>
      </c>
      <c r="AW6" s="90">
        <v>7.9956370781745667E-2</v>
      </c>
      <c r="AX6" s="83">
        <v>225269392</v>
      </c>
      <c r="AY6" s="90">
        <v>0.78628449559893054</v>
      </c>
      <c r="AZ6" s="87">
        <v>1.0193185158371041</v>
      </c>
      <c r="BA6" s="88">
        <v>2.2178296380892371</v>
      </c>
    </row>
    <row r="7" spans="1:53" x14ac:dyDescent="0.3">
      <c r="A7" s="15"/>
      <c r="B7" s="14" t="s">
        <v>7</v>
      </c>
      <c r="C7" s="18">
        <f t="shared" si="0"/>
        <v>22245431000</v>
      </c>
      <c r="D7" s="66"/>
      <c r="E7" s="74">
        <v>0.94870064947081822</v>
      </c>
      <c r="F7" s="18">
        <v>7475809000</v>
      </c>
      <c r="G7" s="19">
        <v>8.1909495282937783E-2</v>
      </c>
      <c r="H7" s="18">
        <v>7070000000</v>
      </c>
      <c r="I7" s="19">
        <v>5.1062501291870399E-2</v>
      </c>
      <c r="J7" s="75">
        <v>8262491040</v>
      </c>
      <c r="K7" s="35">
        <v>6.5672327599734626E-2</v>
      </c>
      <c r="L7" s="77">
        <v>1.168669171145686</v>
      </c>
      <c r="M7" s="76">
        <v>1.1052303556712055</v>
      </c>
      <c r="N7" s="30">
        <v>2916175000</v>
      </c>
      <c r="O7" s="33">
        <v>0.11498442362874062</v>
      </c>
      <c r="P7" s="30">
        <v>3260998000</v>
      </c>
      <c r="Q7" s="33">
        <v>6.3960445774400299E-2</v>
      </c>
      <c r="R7" s="75">
        <v>3081697250</v>
      </c>
      <c r="S7" s="33">
        <v>0.10348815478631046</v>
      </c>
      <c r="T7" s="77">
        <v>0.94501660227942486</v>
      </c>
      <c r="U7" s="76">
        <v>1.0567600538376469</v>
      </c>
      <c r="V7" s="18">
        <v>10994962000</v>
      </c>
      <c r="W7" s="32">
        <v>0.30225626797513372</v>
      </c>
      <c r="X7" s="30">
        <v>11314574000</v>
      </c>
      <c r="Y7" s="33">
        <v>0.25791872831798246</v>
      </c>
      <c r="Z7" s="75">
        <v>9098664970</v>
      </c>
      <c r="AA7" s="33">
        <v>0.25496180463919016</v>
      </c>
      <c r="AB7" s="77">
        <v>0.80415444452438067</v>
      </c>
      <c r="AC7" s="76">
        <v>0.82753036981846773</v>
      </c>
      <c r="AD7" s="30">
        <v>715858000</v>
      </c>
      <c r="AE7" s="33">
        <v>0.42434043347078998</v>
      </c>
      <c r="AF7" s="18">
        <v>1190000000</v>
      </c>
      <c r="AG7" s="20">
        <v>0.23947228323841652</v>
      </c>
      <c r="AH7" s="18">
        <v>1332458000</v>
      </c>
      <c r="AI7" s="20">
        <v>0.25830089051229788</v>
      </c>
      <c r="AJ7" s="46">
        <v>1.1197126050420201</v>
      </c>
      <c r="AK7" s="47">
        <v>1.8613440095661431</v>
      </c>
      <c r="AL7" s="30">
        <v>142627000</v>
      </c>
      <c r="AM7" s="33">
        <v>0.194252367071159</v>
      </c>
      <c r="AN7" s="18">
        <v>16000000</v>
      </c>
      <c r="AO7" s="20">
        <v>0.33397161053989921</v>
      </c>
      <c r="AP7" s="18">
        <v>15716330</v>
      </c>
      <c r="AQ7" s="20">
        <v>0.19990174616911882</v>
      </c>
      <c r="AR7" s="46">
        <v>0.98227062499999995</v>
      </c>
      <c r="AS7" s="47">
        <v>0.11019182903657793</v>
      </c>
      <c r="AT7" s="30">
        <v>0</v>
      </c>
      <c r="AU7" s="33">
        <v>0</v>
      </c>
      <c r="AV7" s="18">
        <v>30000000</v>
      </c>
      <c r="AW7" s="20">
        <v>2.3024066173836566E-2</v>
      </c>
      <c r="AX7" s="18">
        <v>0</v>
      </c>
      <c r="AY7" s="31">
        <v>0</v>
      </c>
      <c r="AZ7" s="46">
        <v>0</v>
      </c>
      <c r="BA7" s="47">
        <v>0</v>
      </c>
    </row>
    <row r="8" spans="1:53" x14ac:dyDescent="0.3">
      <c r="A8" s="15"/>
      <c r="B8" s="14" t="s">
        <v>8</v>
      </c>
      <c r="C8" s="18">
        <f t="shared" si="0"/>
        <v>14078371000</v>
      </c>
      <c r="D8" s="66"/>
      <c r="E8" s="67"/>
      <c r="F8" s="18">
        <v>11501673000</v>
      </c>
      <c r="G8" s="19">
        <v>1.3211603664244564E-2</v>
      </c>
      <c r="H8" s="18">
        <v>11000000000</v>
      </c>
      <c r="I8" s="19">
        <v>3.7554281938498635E-2</v>
      </c>
      <c r="J8" s="30">
        <v>11020217750</v>
      </c>
      <c r="K8" s="35">
        <v>1.9076365282088004E-3</v>
      </c>
      <c r="L8" s="42">
        <v>1.0018379772727273</v>
      </c>
      <c r="M8" s="43">
        <v>0.95814041574647446</v>
      </c>
      <c r="N8" s="30">
        <v>1033772000</v>
      </c>
      <c r="O8" s="33">
        <v>8.1249226197899205E-5</v>
      </c>
      <c r="P8" s="30">
        <v>811002000</v>
      </c>
      <c r="Q8" s="33">
        <v>3.383936517088848E-2</v>
      </c>
      <c r="R8" s="30">
        <v>717656030</v>
      </c>
      <c r="S8" s="33">
        <v>2.3037763989763871E-4</v>
      </c>
      <c r="T8" s="42">
        <v>0.88490044414193803</v>
      </c>
      <c r="U8" s="43">
        <v>0.69421113166152693</v>
      </c>
      <c r="V8" s="18">
        <v>1320021000</v>
      </c>
      <c r="W8" s="32">
        <v>6.7902899623212831E-2</v>
      </c>
      <c r="X8" s="30">
        <v>1300000000</v>
      </c>
      <c r="Y8" s="33">
        <v>0.10094207438943592</v>
      </c>
      <c r="Z8" s="30">
        <v>1237765110</v>
      </c>
      <c r="AA8" s="33">
        <v>4.8639934883263347E-2</v>
      </c>
      <c r="AB8" s="42">
        <v>0.95212700769230774</v>
      </c>
      <c r="AC8" s="43">
        <v>0.93768592317849486</v>
      </c>
      <c r="AD8" s="30">
        <v>0</v>
      </c>
      <c r="AE8" s="33">
        <v>0</v>
      </c>
      <c r="AF8" s="18">
        <v>0</v>
      </c>
      <c r="AG8" s="20">
        <v>0</v>
      </c>
      <c r="AH8" s="18" t="s">
        <v>2</v>
      </c>
      <c r="AI8" s="20" t="s">
        <v>2</v>
      </c>
      <c r="AJ8" s="46" t="s">
        <v>2</v>
      </c>
      <c r="AK8" s="47">
        <v>0</v>
      </c>
      <c r="AL8" s="30">
        <v>115702000</v>
      </c>
      <c r="AM8" s="33">
        <v>2.9402635751256234E-2</v>
      </c>
      <c r="AN8" s="18">
        <v>120000000</v>
      </c>
      <c r="AO8" s="20">
        <v>0.31888228583104872</v>
      </c>
      <c r="AP8" s="18">
        <v>76393150</v>
      </c>
      <c r="AQ8" s="20">
        <v>0.11271658509276661</v>
      </c>
      <c r="AR8" s="46">
        <v>0.6366095833333334</v>
      </c>
      <c r="AS8" s="47">
        <v>0.66025781749667245</v>
      </c>
      <c r="AT8" s="30">
        <v>107203000</v>
      </c>
      <c r="AU8" s="33">
        <v>0.15716273694307081</v>
      </c>
      <c r="AV8" s="18">
        <v>110000000</v>
      </c>
      <c r="AW8" s="20">
        <v>0.14272131428615964</v>
      </c>
      <c r="AX8" s="18">
        <v>0</v>
      </c>
      <c r="AY8" s="31">
        <v>0</v>
      </c>
      <c r="AZ8" s="46">
        <v>0</v>
      </c>
      <c r="BA8" s="47">
        <v>0</v>
      </c>
    </row>
    <row r="9" spans="1:53" x14ac:dyDescent="0.3">
      <c r="A9" s="15"/>
      <c r="B9" s="14" t="s">
        <v>9</v>
      </c>
      <c r="C9" s="18">
        <f t="shared" si="0"/>
        <v>2365796000</v>
      </c>
      <c r="D9" s="66"/>
      <c r="E9" s="67"/>
      <c r="F9" s="18">
        <v>2005711000</v>
      </c>
      <c r="G9" s="19">
        <v>5.2876558244915328E-2</v>
      </c>
      <c r="H9" s="18">
        <v>2992000000</v>
      </c>
      <c r="I9" s="19">
        <v>3.7335117094734027E-2</v>
      </c>
      <c r="J9" s="75">
        <v>2854652640</v>
      </c>
      <c r="K9" s="35">
        <v>7.407856363060894E-2</v>
      </c>
      <c r="L9" s="77">
        <v>0.95409513368983956</v>
      </c>
      <c r="M9" s="76">
        <v>1.4232621948027409</v>
      </c>
      <c r="N9" s="30">
        <v>161269000</v>
      </c>
      <c r="O9" s="33">
        <v>2.3399320547679792E-2</v>
      </c>
      <c r="P9" s="30">
        <v>159997000</v>
      </c>
      <c r="Q9" s="33">
        <v>5.4508601178340776E-2</v>
      </c>
      <c r="R9" s="30">
        <v>121559790</v>
      </c>
      <c r="S9" s="33">
        <v>3.7699619242123061E-3</v>
      </c>
      <c r="T9" s="42">
        <v>0.75976293305499476</v>
      </c>
      <c r="U9" s="43">
        <v>0.75377034643979934</v>
      </c>
      <c r="V9" s="18">
        <v>80563000</v>
      </c>
      <c r="W9" s="32">
        <v>5.8737151248164921E-3</v>
      </c>
      <c r="X9" s="30">
        <v>445000000</v>
      </c>
      <c r="Y9" s="33">
        <v>6.7007715531700818E-2</v>
      </c>
      <c r="Z9" s="30">
        <v>346082470</v>
      </c>
      <c r="AA9" s="33">
        <v>1.1859232060667635E-2</v>
      </c>
      <c r="AB9" s="42">
        <v>0.77771341573033714</v>
      </c>
      <c r="AC9" s="43">
        <v>4.2957991882129516</v>
      </c>
      <c r="AD9" s="30">
        <v>0</v>
      </c>
      <c r="AE9" s="33">
        <v>0</v>
      </c>
      <c r="AF9" s="18">
        <v>0</v>
      </c>
      <c r="AG9" s="20">
        <v>0</v>
      </c>
      <c r="AH9" s="18" t="s">
        <v>2</v>
      </c>
      <c r="AI9" s="20" t="s">
        <v>2</v>
      </c>
      <c r="AJ9" s="46" t="s">
        <v>2</v>
      </c>
      <c r="AK9" s="47">
        <v>0</v>
      </c>
      <c r="AL9" s="30">
        <v>0</v>
      </c>
      <c r="AM9" s="33">
        <v>0</v>
      </c>
      <c r="AN9" s="18">
        <v>0</v>
      </c>
      <c r="AO9" s="20">
        <v>0</v>
      </c>
      <c r="AP9" s="18" t="s">
        <v>2</v>
      </c>
      <c r="AQ9" s="20" t="s">
        <v>2</v>
      </c>
      <c r="AR9" s="46" t="s">
        <v>2</v>
      </c>
      <c r="AS9" s="47">
        <v>0</v>
      </c>
      <c r="AT9" s="30">
        <v>118253000</v>
      </c>
      <c r="AU9" s="33">
        <v>0.16273356131891781</v>
      </c>
      <c r="AV9" s="18">
        <v>55000000</v>
      </c>
      <c r="AW9" s="20">
        <v>6.4243909078535499E-2</v>
      </c>
      <c r="AX9" s="18">
        <v>0</v>
      </c>
      <c r="AY9" s="31">
        <v>0</v>
      </c>
      <c r="AZ9" s="46">
        <v>0</v>
      </c>
      <c r="BA9" s="47">
        <v>0</v>
      </c>
    </row>
    <row r="10" spans="1:53" x14ac:dyDescent="0.3">
      <c r="A10" s="15"/>
      <c r="B10" s="59" t="s">
        <v>10</v>
      </c>
      <c r="C10" s="21">
        <f t="shared" si="0"/>
        <v>2206098000</v>
      </c>
      <c r="D10" s="68"/>
      <c r="E10" s="69"/>
      <c r="F10" s="21">
        <v>585045000</v>
      </c>
      <c r="G10" s="22">
        <v>6.7742053709862193E-2</v>
      </c>
      <c r="H10" s="21">
        <v>475000000</v>
      </c>
      <c r="I10" s="22">
        <v>4.4632746771361531E-2</v>
      </c>
      <c r="J10" s="30">
        <v>574856340</v>
      </c>
      <c r="K10" s="35">
        <v>4.5808267091728361E-2</v>
      </c>
      <c r="L10" s="42">
        <v>1.2102238736842106</v>
      </c>
      <c r="M10" s="43">
        <v>0.98258482680819426</v>
      </c>
      <c r="N10" s="30">
        <v>298929000</v>
      </c>
      <c r="O10" s="33">
        <v>3.3102279380132771E-2</v>
      </c>
      <c r="P10" s="30">
        <v>380004000</v>
      </c>
      <c r="Q10" s="33">
        <v>4.1768372637227436E-2</v>
      </c>
      <c r="R10" s="75">
        <v>342379300</v>
      </c>
      <c r="S10" s="33">
        <v>8.3182395609292081E-2</v>
      </c>
      <c r="T10" s="77">
        <v>0.90098867380343362</v>
      </c>
      <c r="U10" s="76">
        <v>1.145353244415898</v>
      </c>
      <c r="V10" s="18">
        <v>886033000</v>
      </c>
      <c r="W10" s="32">
        <v>0.65575699274226917</v>
      </c>
      <c r="X10" s="30">
        <v>1354275000</v>
      </c>
      <c r="Y10" s="33">
        <v>9.8553852134276254E-2</v>
      </c>
      <c r="Z10" s="30">
        <v>887968590</v>
      </c>
      <c r="AA10" s="33">
        <v>7.9504791305573752E-2</v>
      </c>
      <c r="AB10" s="42">
        <v>0.65567819682117734</v>
      </c>
      <c r="AC10" s="43">
        <v>1.0021845574600494</v>
      </c>
      <c r="AD10" s="30">
        <v>185840000</v>
      </c>
      <c r="AE10" s="33">
        <v>0.48932288017059211</v>
      </c>
      <c r="AF10" s="21">
        <v>140000000</v>
      </c>
      <c r="AG10" s="23">
        <v>0</v>
      </c>
      <c r="AH10" s="18">
        <v>173937400</v>
      </c>
      <c r="AI10" s="23">
        <v>0.12122648182203988</v>
      </c>
      <c r="AJ10" s="50">
        <v>1.24241</v>
      </c>
      <c r="AK10" s="51">
        <v>0.93595243219974167</v>
      </c>
      <c r="AL10" s="30">
        <v>231210000</v>
      </c>
      <c r="AM10" s="33">
        <v>0.43574287387739163</v>
      </c>
      <c r="AN10" s="21">
        <v>320000000</v>
      </c>
      <c r="AO10" s="23">
        <v>0.33599350933655381</v>
      </c>
      <c r="AP10" s="18">
        <v>159354800</v>
      </c>
      <c r="AQ10" s="23">
        <v>0.45876001187397553</v>
      </c>
      <c r="AR10" s="50">
        <v>0.49798374999999995</v>
      </c>
      <c r="AS10" s="51">
        <v>0.68922105445266213</v>
      </c>
      <c r="AT10" s="30">
        <v>19041000</v>
      </c>
      <c r="AU10" s="33">
        <v>0.15233940257312029</v>
      </c>
      <c r="AV10" s="21">
        <v>25000000</v>
      </c>
      <c r="AW10" s="23">
        <v>7.1598336304218635E-2</v>
      </c>
      <c r="AX10" s="18">
        <v>0</v>
      </c>
      <c r="AY10" s="31">
        <v>0</v>
      </c>
      <c r="AZ10" s="50">
        <v>0</v>
      </c>
      <c r="BA10" s="51">
        <v>0</v>
      </c>
    </row>
    <row r="11" spans="1:53" x14ac:dyDescent="0.3">
      <c r="A11" s="15"/>
      <c r="B11" s="14" t="s">
        <v>11</v>
      </c>
      <c r="C11" s="18">
        <f t="shared" si="0"/>
        <v>3843750000</v>
      </c>
      <c r="D11" s="66"/>
      <c r="E11" s="67"/>
      <c r="F11" s="18">
        <v>1241906000</v>
      </c>
      <c r="G11" s="19">
        <v>0.167483269638525</v>
      </c>
      <c r="H11" s="18">
        <v>1146000000</v>
      </c>
      <c r="I11" s="19">
        <v>0.15556845863980207</v>
      </c>
      <c r="J11" s="30">
        <v>978118108</v>
      </c>
      <c r="K11" s="35">
        <v>0.18736460682376777</v>
      </c>
      <c r="L11" s="42">
        <v>0.85350620244328101</v>
      </c>
      <c r="M11" s="43">
        <v>0.78759431712222983</v>
      </c>
      <c r="N11" s="30">
        <v>311859000</v>
      </c>
      <c r="O11" s="33">
        <v>0.1060267281264512</v>
      </c>
      <c r="P11" s="30">
        <v>331002000</v>
      </c>
      <c r="Q11" s="33">
        <v>8.2888633983342452E-2</v>
      </c>
      <c r="R11" s="30">
        <v>335732680</v>
      </c>
      <c r="S11" s="33">
        <v>0.10277676522244805</v>
      </c>
      <c r="T11" s="42">
        <v>1.0142919982356602</v>
      </c>
      <c r="U11" s="43">
        <v>1.0765528011056278</v>
      </c>
      <c r="V11" s="18">
        <v>1797980000</v>
      </c>
      <c r="W11" s="32">
        <v>9.4479385326978194E-2</v>
      </c>
      <c r="X11" s="30">
        <v>1514000000</v>
      </c>
      <c r="Y11" s="33">
        <v>0.12409654376827084</v>
      </c>
      <c r="Z11" s="30">
        <v>1484607593</v>
      </c>
      <c r="AA11" s="33">
        <v>0.12450701847395151</v>
      </c>
      <c r="AB11" s="42">
        <v>0.98058625693527079</v>
      </c>
      <c r="AC11" s="43">
        <v>0.82570862467880624</v>
      </c>
      <c r="AD11" s="30">
        <v>105731000</v>
      </c>
      <c r="AE11" s="33">
        <v>9.7334631014581841E-2</v>
      </c>
      <c r="AF11" s="18">
        <v>237600000</v>
      </c>
      <c r="AG11" s="20">
        <v>0.41645422260208365</v>
      </c>
      <c r="AH11" s="18">
        <v>213555910</v>
      </c>
      <c r="AI11" s="20">
        <v>0.35088994461972411</v>
      </c>
      <c r="AJ11" s="46">
        <v>0.89880433501683499</v>
      </c>
      <c r="AK11" s="47">
        <v>2.019804125563931</v>
      </c>
      <c r="AL11" s="30">
        <v>354777000</v>
      </c>
      <c r="AM11" s="33">
        <v>0.10880650703857397</v>
      </c>
      <c r="AN11" s="18">
        <v>390000000</v>
      </c>
      <c r="AO11" s="20">
        <v>0.31857732924246762</v>
      </c>
      <c r="AP11" s="18">
        <v>230978170</v>
      </c>
      <c r="AQ11" s="20">
        <v>0.61038877597716901</v>
      </c>
      <c r="AR11" s="46">
        <v>0.59225171794871789</v>
      </c>
      <c r="AS11" s="47">
        <v>0.65105170290069536</v>
      </c>
      <c r="AT11" s="30">
        <v>31497000</v>
      </c>
      <c r="AU11" s="33">
        <v>4.8400253784102287E-2</v>
      </c>
      <c r="AV11" s="18">
        <v>72000000</v>
      </c>
      <c r="AW11" s="20">
        <v>2.4760253562334023E-2</v>
      </c>
      <c r="AX11" s="18">
        <v>104098692</v>
      </c>
      <c r="AY11" s="31">
        <v>0.79083754041145848</v>
      </c>
      <c r="AZ11" s="46">
        <v>1.4458151666666668</v>
      </c>
      <c r="BA11" s="47">
        <v>3.3050351462044003</v>
      </c>
    </row>
    <row r="12" spans="1:53" x14ac:dyDescent="0.3">
      <c r="A12" s="15"/>
      <c r="B12" s="14" t="s">
        <v>12</v>
      </c>
      <c r="C12" s="18">
        <f t="shared" si="0"/>
        <v>6323802000</v>
      </c>
      <c r="D12" s="66"/>
      <c r="E12" s="67"/>
      <c r="F12" s="18">
        <v>1622071000</v>
      </c>
      <c r="G12" s="19">
        <v>1.7456049437606036E-2</v>
      </c>
      <c r="H12" s="18">
        <v>2022000000</v>
      </c>
      <c r="I12" s="19">
        <v>2.9790982814057232E-2</v>
      </c>
      <c r="J12" s="30">
        <v>1868258990</v>
      </c>
      <c r="K12" s="35">
        <v>4.7799986412134232E-2</v>
      </c>
      <c r="L12" s="42">
        <v>0.92396587042532152</v>
      </c>
      <c r="M12" s="43">
        <v>1.1517738680982521</v>
      </c>
      <c r="N12" s="30">
        <v>699826000</v>
      </c>
      <c r="O12" s="33">
        <v>7.9988589022060741E-2</v>
      </c>
      <c r="P12" s="30">
        <v>869000000</v>
      </c>
      <c r="Q12" s="33">
        <v>4.7410249383392666E-2</v>
      </c>
      <c r="R12" s="30">
        <v>1002345790</v>
      </c>
      <c r="S12" s="33">
        <v>1.0497165193520286E-2</v>
      </c>
      <c r="T12" s="42">
        <v>1.1534473993095511</v>
      </c>
      <c r="U12" s="43">
        <v>1.4322785806757681</v>
      </c>
      <c r="V12" s="18">
        <v>3523626000</v>
      </c>
      <c r="W12" s="32">
        <v>0.29047100489151756</v>
      </c>
      <c r="X12" s="30">
        <v>4099000000</v>
      </c>
      <c r="Y12" s="33">
        <v>0.26929956507369579</v>
      </c>
      <c r="Z12" s="30">
        <v>3927452770</v>
      </c>
      <c r="AA12" s="33">
        <v>0.24676059625441327</v>
      </c>
      <c r="AB12" s="42">
        <v>0.95814900463527686</v>
      </c>
      <c r="AC12" s="43">
        <v>1.1146054575599114</v>
      </c>
      <c r="AD12" s="30">
        <v>303717000</v>
      </c>
      <c r="AE12" s="33">
        <v>0.55187590741156056</v>
      </c>
      <c r="AF12" s="18">
        <v>642400000</v>
      </c>
      <c r="AG12" s="20">
        <v>0</v>
      </c>
      <c r="AH12" s="18">
        <v>1197368610</v>
      </c>
      <c r="AI12" s="20">
        <v>0.29855835141074072</v>
      </c>
      <c r="AJ12" s="46">
        <v>1.8638988325031134</v>
      </c>
      <c r="AK12" s="47">
        <v>3.9423825798358338</v>
      </c>
      <c r="AL12" s="30">
        <v>126363000</v>
      </c>
      <c r="AM12" s="33">
        <v>0.19143721885577902</v>
      </c>
      <c r="AN12" s="18">
        <v>390000000</v>
      </c>
      <c r="AO12" s="20">
        <v>0.31857732924246762</v>
      </c>
      <c r="AP12" s="18">
        <v>269063110</v>
      </c>
      <c r="AQ12" s="20">
        <v>0.54006761984240104</v>
      </c>
      <c r="AR12" s="46">
        <v>0.68990541025641028</v>
      </c>
      <c r="AS12" s="47">
        <v>2.1292871331006702</v>
      </c>
      <c r="AT12" s="30">
        <v>48199000</v>
      </c>
      <c r="AU12" s="33">
        <v>7.6098832640073555E-2</v>
      </c>
      <c r="AV12" s="18">
        <v>108000000</v>
      </c>
      <c r="AW12" s="20">
        <v>2.6009162728617308E-2</v>
      </c>
      <c r="AX12" s="18">
        <v>146458990</v>
      </c>
      <c r="AY12" s="31">
        <v>0.76369845288053995</v>
      </c>
      <c r="AZ12" s="46">
        <v>1.3561017592592592</v>
      </c>
      <c r="BA12" s="47">
        <v>3.0386312994045519</v>
      </c>
    </row>
    <row r="13" spans="1:53" x14ac:dyDescent="0.3">
      <c r="A13" s="15"/>
      <c r="B13" s="14" t="s">
        <v>13</v>
      </c>
      <c r="C13" s="18">
        <f t="shared" si="0"/>
        <v>20410408000</v>
      </c>
      <c r="D13" s="66"/>
      <c r="E13" s="67"/>
      <c r="F13" s="18">
        <v>5575267000</v>
      </c>
      <c r="G13" s="19">
        <v>5.8208062704291463E-2</v>
      </c>
      <c r="H13" s="18">
        <v>5020000000</v>
      </c>
      <c r="I13" s="19">
        <v>4.5028976331937254E-2</v>
      </c>
      <c r="J13" s="30">
        <v>6332395080</v>
      </c>
      <c r="K13" s="35">
        <v>5.8207618265093131E-2</v>
      </c>
      <c r="L13" s="42">
        <v>1.261433282868526</v>
      </c>
      <c r="M13" s="43">
        <v>1.1358012235109098</v>
      </c>
      <c r="N13" s="30">
        <v>733643000</v>
      </c>
      <c r="O13" s="33">
        <v>4.7434612348346339E-2</v>
      </c>
      <c r="P13" s="30">
        <v>782000000</v>
      </c>
      <c r="Q13" s="33">
        <v>4.7936749884948893E-2</v>
      </c>
      <c r="R13" s="75">
        <v>898061950</v>
      </c>
      <c r="S13" s="33">
        <v>4.3804927514659475E-2</v>
      </c>
      <c r="T13" s="77">
        <v>1.1484168158567776</v>
      </c>
      <c r="U13" s="76">
        <v>1.2241130222737762</v>
      </c>
      <c r="V13" s="18">
        <v>14101498000</v>
      </c>
      <c r="W13" s="32">
        <v>0.14164128994809244</v>
      </c>
      <c r="X13" s="30">
        <v>13091780000</v>
      </c>
      <c r="Y13" s="33">
        <v>0.1036591273127363</v>
      </c>
      <c r="Z13" s="75">
        <v>12354189620</v>
      </c>
      <c r="AA13" s="33">
        <v>0.13970746742512008</v>
      </c>
      <c r="AB13" s="77">
        <v>0.94366003858909941</v>
      </c>
      <c r="AC13" s="76">
        <v>0.87609058413510399</v>
      </c>
      <c r="AD13" s="30">
        <v>0</v>
      </c>
      <c r="AE13" s="33">
        <v>0</v>
      </c>
      <c r="AF13" s="18">
        <v>0</v>
      </c>
      <c r="AG13" s="20">
        <v>0</v>
      </c>
      <c r="AH13" s="18" t="s">
        <v>2</v>
      </c>
      <c r="AI13" s="20" t="s">
        <v>2</v>
      </c>
      <c r="AJ13" s="46" t="s">
        <v>2</v>
      </c>
      <c r="AK13" s="47">
        <v>0</v>
      </c>
      <c r="AL13" s="30">
        <v>0</v>
      </c>
      <c r="AM13" s="33">
        <v>0</v>
      </c>
      <c r="AN13" s="18">
        <v>0</v>
      </c>
      <c r="AO13" s="20">
        <v>0</v>
      </c>
      <c r="AP13" s="18" t="s">
        <v>2</v>
      </c>
      <c r="AQ13" s="20" t="s">
        <v>2</v>
      </c>
      <c r="AR13" s="46" t="s">
        <v>2</v>
      </c>
      <c r="AS13" s="47">
        <v>0</v>
      </c>
      <c r="AT13" s="30">
        <v>0</v>
      </c>
      <c r="AU13" s="33">
        <v>0</v>
      </c>
      <c r="AV13" s="18">
        <v>0</v>
      </c>
      <c r="AW13" s="20">
        <v>0</v>
      </c>
      <c r="AX13" s="18" t="s">
        <v>2</v>
      </c>
      <c r="AY13" s="31" t="s">
        <v>2</v>
      </c>
      <c r="AZ13" s="46" t="s">
        <v>2</v>
      </c>
      <c r="BA13" s="47">
        <v>0</v>
      </c>
    </row>
    <row r="14" spans="1:53" x14ac:dyDescent="0.3">
      <c r="A14" s="15"/>
      <c r="B14" s="14" t="s">
        <v>14</v>
      </c>
      <c r="C14" s="18">
        <f t="shared" si="0"/>
        <v>11201289000</v>
      </c>
      <c r="D14" s="66"/>
      <c r="E14" s="67"/>
      <c r="F14" s="18"/>
      <c r="G14" s="19"/>
      <c r="H14" s="18">
        <v>0</v>
      </c>
      <c r="I14" s="19">
        <v>0</v>
      </c>
      <c r="J14" s="18">
        <v>0</v>
      </c>
      <c r="K14" s="19">
        <v>0</v>
      </c>
      <c r="L14" s="42" t="s">
        <v>2</v>
      </c>
      <c r="M14" s="43">
        <v>0</v>
      </c>
      <c r="N14" s="30"/>
      <c r="O14" s="33"/>
      <c r="P14" s="30">
        <v>0</v>
      </c>
      <c r="Q14" s="33">
        <v>0</v>
      </c>
      <c r="R14" s="30">
        <v>0</v>
      </c>
      <c r="S14" s="33">
        <v>0</v>
      </c>
      <c r="T14" s="42" t="s">
        <v>2</v>
      </c>
      <c r="U14" s="43">
        <v>0</v>
      </c>
      <c r="V14" s="18">
        <v>11143929000</v>
      </c>
      <c r="W14" s="32">
        <v>0.33757904044883225</v>
      </c>
      <c r="X14" s="30">
        <v>11132004000</v>
      </c>
      <c r="Y14" s="33">
        <v>0.3322457637031434</v>
      </c>
      <c r="Z14" s="75">
        <v>10249687090</v>
      </c>
      <c r="AA14" s="33">
        <v>0.34546415224419413</v>
      </c>
      <c r="AB14" s="77">
        <v>0.9207405144662183</v>
      </c>
      <c r="AC14" s="76">
        <v>0.91975523982609719</v>
      </c>
      <c r="AD14" s="30"/>
      <c r="AE14" s="33"/>
      <c r="AF14" s="18">
        <v>1010000000</v>
      </c>
      <c r="AG14" s="20">
        <v>0.52515145787905371</v>
      </c>
      <c r="AH14" s="18">
        <v>950032470</v>
      </c>
      <c r="AI14" s="20">
        <v>0.59877555976287178</v>
      </c>
      <c r="AJ14" s="46">
        <v>0.9406262079207921</v>
      </c>
      <c r="AK14" s="47">
        <v>0</v>
      </c>
      <c r="AL14" s="30">
        <v>57360000</v>
      </c>
      <c r="AM14" s="33">
        <v>0.42770483298080375</v>
      </c>
      <c r="AN14" s="18">
        <v>110000000</v>
      </c>
      <c r="AO14" s="20">
        <v>0.3392083716292118</v>
      </c>
      <c r="AP14" s="18">
        <v>91494580</v>
      </c>
      <c r="AQ14" s="20">
        <v>0.60431867423767371</v>
      </c>
      <c r="AR14" s="46">
        <v>0.83176890909090906</v>
      </c>
      <c r="AS14" s="47">
        <v>1.5950937935843794</v>
      </c>
      <c r="AT14" s="30"/>
      <c r="AU14" s="33"/>
      <c r="AV14" s="18">
        <v>0</v>
      </c>
      <c r="AW14" s="20">
        <v>0</v>
      </c>
      <c r="AX14" s="18">
        <v>0</v>
      </c>
      <c r="AY14" s="31">
        <v>0</v>
      </c>
      <c r="AZ14" s="46" t="s">
        <v>2</v>
      </c>
      <c r="BA14" s="47">
        <v>0</v>
      </c>
    </row>
    <row r="15" spans="1:53" x14ac:dyDescent="0.3">
      <c r="A15" s="15"/>
      <c r="B15" s="59" t="s">
        <v>15</v>
      </c>
      <c r="C15" s="37">
        <f t="shared" si="0"/>
        <v>886033000</v>
      </c>
      <c r="D15" s="68"/>
      <c r="E15" s="69"/>
      <c r="F15" s="37"/>
      <c r="G15" s="38">
        <v>0</v>
      </c>
      <c r="H15" s="37">
        <v>0</v>
      </c>
      <c r="I15" s="38">
        <v>0</v>
      </c>
      <c r="J15" s="37" t="s">
        <v>2</v>
      </c>
      <c r="K15" s="38" t="s">
        <v>2</v>
      </c>
      <c r="L15" s="44" t="s">
        <v>2</v>
      </c>
      <c r="M15" s="45">
        <v>0</v>
      </c>
      <c r="N15" s="37"/>
      <c r="O15" s="38">
        <v>0</v>
      </c>
      <c r="P15" s="37">
        <v>0</v>
      </c>
      <c r="Q15" s="38"/>
      <c r="R15" s="37" t="s">
        <v>2</v>
      </c>
      <c r="S15" s="38" t="s">
        <v>2</v>
      </c>
      <c r="T15" s="44" t="s">
        <v>2</v>
      </c>
      <c r="U15" s="45">
        <v>0</v>
      </c>
      <c r="V15" s="18">
        <v>886033000</v>
      </c>
      <c r="W15" s="32">
        <v>6.2261009820492097E-2</v>
      </c>
      <c r="X15" s="30">
        <v>749367000</v>
      </c>
      <c r="Y15" s="33">
        <v>0.56595171622858342</v>
      </c>
      <c r="Z15" s="30">
        <v>431967790</v>
      </c>
      <c r="AA15" s="33">
        <v>0.61939285991203086</v>
      </c>
      <c r="AB15" s="42">
        <v>0.57644357170785476</v>
      </c>
      <c r="AC15" s="43">
        <v>0.48753013713936161</v>
      </c>
      <c r="AD15" s="30"/>
      <c r="AE15" s="34"/>
      <c r="AF15" s="21">
        <v>0</v>
      </c>
      <c r="AG15" s="24">
        <v>0</v>
      </c>
      <c r="AH15" s="18" t="s">
        <v>2</v>
      </c>
      <c r="AI15" s="24" t="s">
        <v>2</v>
      </c>
      <c r="AJ15" s="50" t="s">
        <v>2</v>
      </c>
      <c r="AK15" s="51">
        <v>0</v>
      </c>
      <c r="AL15" s="30"/>
      <c r="AM15" s="34">
        <v>0</v>
      </c>
      <c r="AN15" s="21"/>
      <c r="AO15" s="24">
        <v>0</v>
      </c>
      <c r="AP15" s="18" t="s">
        <v>2</v>
      </c>
      <c r="AQ15" s="24" t="s">
        <v>2</v>
      </c>
      <c r="AR15" s="50" t="s">
        <v>2</v>
      </c>
      <c r="AS15" s="51">
        <v>0</v>
      </c>
      <c r="AT15" s="30"/>
      <c r="AU15" s="34"/>
      <c r="AV15" s="21">
        <v>0</v>
      </c>
      <c r="AW15" s="24">
        <v>0</v>
      </c>
      <c r="AX15" s="18" t="s">
        <v>2</v>
      </c>
      <c r="AY15" s="31" t="s">
        <v>2</v>
      </c>
      <c r="AZ15" s="50" t="s">
        <v>2</v>
      </c>
      <c r="BA15" s="51">
        <v>0</v>
      </c>
    </row>
    <row r="16" spans="1:53" x14ac:dyDescent="0.3">
      <c r="A16" s="15"/>
      <c r="B16" s="14" t="s">
        <v>16</v>
      </c>
      <c r="C16" s="18">
        <f t="shared" si="0"/>
        <v>7977755000</v>
      </c>
      <c r="D16" s="66"/>
      <c r="E16" s="67"/>
      <c r="F16" s="18">
        <v>3411331000</v>
      </c>
      <c r="G16" s="19">
        <v>0.74692746262015419</v>
      </c>
      <c r="H16" s="18">
        <v>3405103000</v>
      </c>
      <c r="I16" s="19">
        <v>0.77715260958835208</v>
      </c>
      <c r="J16" s="18">
        <v>3038576890</v>
      </c>
      <c r="K16" s="19">
        <v>0.77954396102136947</v>
      </c>
      <c r="L16" s="46">
        <v>0.89235975828043967</v>
      </c>
      <c r="M16" s="47">
        <v>0.89073059459782711</v>
      </c>
      <c r="N16" s="18">
        <v>2462444000</v>
      </c>
      <c r="O16" s="20">
        <v>0.76754885573381038</v>
      </c>
      <c r="P16" s="18">
        <v>2306800000</v>
      </c>
      <c r="Q16" s="20">
        <v>0.77470194252672731</v>
      </c>
      <c r="R16" s="18">
        <v>1448848560</v>
      </c>
      <c r="S16" s="20">
        <v>0.75750496639561293</v>
      </c>
      <c r="T16" s="42">
        <v>0.62807723252991154</v>
      </c>
      <c r="U16" s="47">
        <v>0.58837827784103924</v>
      </c>
      <c r="V16" s="18">
        <v>2103980000</v>
      </c>
      <c r="W16" s="31">
        <v>0.85287515723068141</v>
      </c>
      <c r="X16" s="18">
        <v>899672000</v>
      </c>
      <c r="Y16" s="20">
        <v>0.86243149840262967</v>
      </c>
      <c r="Z16" s="18">
        <v>302359550</v>
      </c>
      <c r="AA16" s="20">
        <v>0.91971624232369731</v>
      </c>
      <c r="AB16" s="42">
        <v>0.33607753714687127</v>
      </c>
      <c r="AC16" s="47">
        <v>0.1437083765054801</v>
      </c>
      <c r="AD16" s="18">
        <v>0</v>
      </c>
      <c r="AE16" s="20">
        <v>0</v>
      </c>
      <c r="AF16" s="18">
        <v>0</v>
      </c>
      <c r="AG16" s="20">
        <v>0</v>
      </c>
      <c r="AH16" s="18" t="s">
        <v>2</v>
      </c>
      <c r="AI16" s="20" t="s">
        <v>2</v>
      </c>
      <c r="AJ16" s="46" t="s">
        <v>2</v>
      </c>
      <c r="AK16" s="47">
        <v>0</v>
      </c>
      <c r="AL16" s="18"/>
      <c r="AM16" s="20">
        <v>0</v>
      </c>
      <c r="AN16" s="18">
        <v>0</v>
      </c>
      <c r="AO16" s="20">
        <v>0</v>
      </c>
      <c r="AP16" s="18">
        <v>0</v>
      </c>
      <c r="AQ16" s="20">
        <v>0</v>
      </c>
      <c r="AR16" s="46" t="s">
        <v>2</v>
      </c>
      <c r="AS16" s="47">
        <v>0</v>
      </c>
      <c r="AT16" s="18">
        <v>0</v>
      </c>
      <c r="AU16" s="20">
        <v>0</v>
      </c>
      <c r="AV16" s="18">
        <v>0</v>
      </c>
      <c r="AW16" s="20">
        <v>0</v>
      </c>
      <c r="AX16" s="18" t="s">
        <v>2</v>
      </c>
      <c r="AY16" s="31" t="s">
        <v>2</v>
      </c>
      <c r="AZ16" s="46" t="s">
        <v>2</v>
      </c>
      <c r="BA16" s="47">
        <v>0</v>
      </c>
    </row>
    <row r="17" spans="1:53" x14ac:dyDescent="0.3">
      <c r="A17" s="25" t="s">
        <v>17</v>
      </c>
      <c r="B17" s="60"/>
      <c r="C17" s="26">
        <f t="shared" si="0"/>
        <v>20080935000</v>
      </c>
      <c r="D17" s="70">
        <v>21344881000</v>
      </c>
      <c r="E17" s="71">
        <v>20130716504.961754</v>
      </c>
      <c r="F17" s="26">
        <v>9418597000</v>
      </c>
      <c r="G17" s="28">
        <v>0.31001870144276822</v>
      </c>
      <c r="H17" s="26">
        <v>9311312000</v>
      </c>
      <c r="I17" s="28">
        <v>0.30915820575625741</v>
      </c>
      <c r="J17" s="26">
        <v>9419217646.3949394</v>
      </c>
      <c r="K17" s="28">
        <v>0.29662948467378397</v>
      </c>
      <c r="L17" s="48">
        <v>1.0115886618765368</v>
      </c>
      <c r="M17" s="49">
        <v>1.0000658958436102</v>
      </c>
      <c r="N17" s="26">
        <v>1079803000</v>
      </c>
      <c r="O17" s="28">
        <v>0.13778885110346897</v>
      </c>
      <c r="P17" s="26">
        <v>583822000</v>
      </c>
      <c r="Q17" s="28">
        <v>7.2151265453240576E-2</v>
      </c>
      <c r="R17" s="26">
        <v>809866201.40772009</v>
      </c>
      <c r="S17" s="28">
        <v>0.11208118866457742</v>
      </c>
      <c r="T17" s="48">
        <v>1.3871799990540268</v>
      </c>
      <c r="U17" s="49">
        <v>0.7500129203268745</v>
      </c>
      <c r="V17" s="26">
        <v>10798504000</v>
      </c>
      <c r="W17" s="28">
        <v>0.25590183521038273</v>
      </c>
      <c r="X17" s="26">
        <v>10754260000</v>
      </c>
      <c r="Y17" s="28">
        <v>0.25772921117452019</v>
      </c>
      <c r="Z17" s="26">
        <v>8971366284.8730965</v>
      </c>
      <c r="AA17" s="28">
        <v>0.24475001089423448</v>
      </c>
      <c r="AB17" s="48">
        <v>0.8342151189271132</v>
      </c>
      <c r="AC17" s="49">
        <v>0.83079714420378015</v>
      </c>
      <c r="AD17" s="26">
        <v>-1210974000</v>
      </c>
      <c r="AE17" s="28">
        <v>-0.71962860078636282</v>
      </c>
      <c r="AF17" s="26">
        <v>712219000</v>
      </c>
      <c r="AG17" s="28">
        <v>0.2410587384615385</v>
      </c>
      <c r="AH17" s="26">
        <v>1056578702.850857</v>
      </c>
      <c r="AI17" s="28">
        <v>0.30052512828704053</v>
      </c>
      <c r="AJ17" s="48">
        <v>1.4835025502701515</v>
      </c>
      <c r="AK17" s="49">
        <v>-0.87250321051554947</v>
      </c>
      <c r="AL17" s="26">
        <v>148784000</v>
      </c>
      <c r="AM17" s="28">
        <v>0.15919862962397341</v>
      </c>
      <c r="AN17" s="26">
        <v>32148000</v>
      </c>
      <c r="AO17" s="28">
        <v>2.6272511144130761E-2</v>
      </c>
      <c r="AP17" s="26">
        <v>4600698.955909133</v>
      </c>
      <c r="AQ17" s="27">
        <v>6.0032835243657807E-3</v>
      </c>
      <c r="AR17" s="48">
        <v>0.14310995881265187</v>
      </c>
      <c r="AS17" s="49">
        <v>3.0922000725273773E-2</v>
      </c>
      <c r="AT17" s="26">
        <v>-153779000</v>
      </c>
      <c r="AU17" s="28">
        <v>-0.52177999457111846</v>
      </c>
      <c r="AV17" s="26">
        <v>-48880000</v>
      </c>
      <c r="AW17" s="28">
        <v>-0.13442000000000001</v>
      </c>
      <c r="AX17" s="26">
        <v>-130913029.52077273</v>
      </c>
      <c r="AY17" s="27">
        <v>-0.57473525187246111</v>
      </c>
      <c r="AZ17" s="48">
        <v>-0.67825346810091491</v>
      </c>
      <c r="BA17" s="49">
        <v>0.85130628707933287</v>
      </c>
    </row>
    <row r="18" spans="1:53" x14ac:dyDescent="0.3">
      <c r="A18" s="15"/>
      <c r="B18" s="59" t="s">
        <v>7</v>
      </c>
      <c r="C18" s="21">
        <f t="shared" si="0"/>
        <v>3951181000</v>
      </c>
      <c r="D18" s="68"/>
      <c r="E18" s="69"/>
      <c r="F18" s="21">
        <v>1544852000</v>
      </c>
      <c r="G18" s="29">
        <v>0.22731147893157788</v>
      </c>
      <c r="H18" s="21">
        <v>1580913000</v>
      </c>
      <c r="I18" s="29">
        <v>0.24596949080622349</v>
      </c>
      <c r="J18" s="18">
        <v>1793843540.3080451</v>
      </c>
      <c r="K18" s="29">
        <v>0.23881755330034826</v>
      </c>
      <c r="L18" s="50">
        <v>1.134688335353081</v>
      </c>
      <c r="M18" s="51">
        <v>1.1611750124335827</v>
      </c>
      <c r="N18" s="21">
        <v>236545000</v>
      </c>
      <c r="O18" s="29">
        <v>8.9226298147402003E-2</v>
      </c>
      <c r="P18" s="21">
        <v>312516000</v>
      </c>
      <c r="Q18" s="19">
        <v>3.8622088366633889E-2</v>
      </c>
      <c r="R18" s="18">
        <v>217612358.98439157</v>
      </c>
      <c r="S18" s="29">
        <v>7.76758959313186E-2</v>
      </c>
      <c r="T18" s="50">
        <v>0.69632389696652841</v>
      </c>
      <c r="U18" s="51">
        <v>0.91996177887671082</v>
      </c>
      <c r="V18" s="18">
        <v>2166810000</v>
      </c>
      <c r="W18" s="23">
        <v>0.21678028537069979</v>
      </c>
      <c r="X18" s="21">
        <v>1870961000</v>
      </c>
      <c r="Y18" s="19">
        <v>0.18189435147978175</v>
      </c>
      <c r="Z18" s="18">
        <v>1524963618.6070843</v>
      </c>
      <c r="AA18" s="29">
        <v>0.18436330890286565</v>
      </c>
      <c r="AB18" s="50">
        <v>0.81506969873080426</v>
      </c>
      <c r="AC18" s="51">
        <v>0.70378280449466468</v>
      </c>
      <c r="AD18" s="21">
        <v>45638000</v>
      </c>
      <c r="AE18" s="29">
        <v>7.0128153907618562E-2</v>
      </c>
      <c r="AF18" s="21">
        <v>237935000</v>
      </c>
      <c r="AG18" s="20">
        <v>0.21993991596638657</v>
      </c>
      <c r="AH18" s="18">
        <v>372482700.20185685</v>
      </c>
      <c r="AI18" s="29">
        <v>0.30750010148315565</v>
      </c>
      <c r="AJ18" s="50">
        <v>1.5654809094998923</v>
      </c>
      <c r="AK18" s="51">
        <v>8.1616788685274742</v>
      </c>
      <c r="AL18" s="21">
        <v>-42664000</v>
      </c>
      <c r="AM18" s="29">
        <v>-0.32904288809271737</v>
      </c>
      <c r="AN18" s="21">
        <v>-10873000</v>
      </c>
      <c r="AO18" s="20">
        <v>-0.74751875000000001</v>
      </c>
      <c r="AP18" s="18">
        <v>-9115690.3440000005</v>
      </c>
      <c r="AQ18" s="23">
        <v>-0.63801532408647577</v>
      </c>
      <c r="AR18" s="50">
        <v>1.1616214159845488</v>
      </c>
      <c r="AS18" s="51">
        <v>0.21366234633414591</v>
      </c>
      <c r="AT18" s="21">
        <v>0</v>
      </c>
      <c r="AU18" s="29">
        <v>0</v>
      </c>
      <c r="AV18" s="21">
        <v>566000</v>
      </c>
      <c r="AW18" s="20">
        <v>2.0753333333333335E-2</v>
      </c>
      <c r="AX18" s="18">
        <v>-1207000</v>
      </c>
      <c r="AY18" s="79" t="s">
        <v>2</v>
      </c>
      <c r="AZ18" s="50">
        <v>-2.1325088339222615</v>
      </c>
      <c r="BA18" s="51">
        <v>0</v>
      </c>
    </row>
    <row r="19" spans="1:53" x14ac:dyDescent="0.3">
      <c r="A19" s="15"/>
      <c r="B19" s="59" t="s">
        <v>8</v>
      </c>
      <c r="C19" s="21">
        <f t="shared" si="0"/>
        <v>3590847000</v>
      </c>
      <c r="D19" s="68"/>
      <c r="E19" s="69"/>
      <c r="F19" s="21">
        <v>3202731000</v>
      </c>
      <c r="G19" s="29">
        <v>0.30630362209045592</v>
      </c>
      <c r="H19" s="21">
        <v>2841616000</v>
      </c>
      <c r="I19" s="29">
        <v>0.28416160000000001</v>
      </c>
      <c r="J19" s="18">
        <v>2932973553.278883</v>
      </c>
      <c r="K19" s="29">
        <v>0.29275927044243488</v>
      </c>
      <c r="L19" s="50">
        <v>1.0321498588404918</v>
      </c>
      <c r="M19" s="51">
        <v>0.91577268065250661</v>
      </c>
      <c r="N19" s="21">
        <v>161500000</v>
      </c>
      <c r="O19" s="29">
        <v>0.1718464032688059</v>
      </c>
      <c r="P19" s="21">
        <v>61689000</v>
      </c>
      <c r="Q19" s="35">
        <v>2.0808936405358115E-2</v>
      </c>
      <c r="R19" s="18">
        <v>55415086.081509292</v>
      </c>
      <c r="S19" s="29">
        <v>8.493845539019608E-2</v>
      </c>
      <c r="T19" s="50">
        <v>0.8982976881049991</v>
      </c>
      <c r="U19" s="51">
        <v>0.34312746799696159</v>
      </c>
      <c r="V19" s="18">
        <v>248943000</v>
      </c>
      <c r="W19" s="23">
        <v>0.2074491996718234</v>
      </c>
      <c r="X19" s="21">
        <v>207763000</v>
      </c>
      <c r="Y19" s="35">
        <v>0.17579946153846154</v>
      </c>
      <c r="Z19" s="18">
        <v>154087123.83862939</v>
      </c>
      <c r="AA19" s="29">
        <v>0.13693699624680189</v>
      </c>
      <c r="AB19" s="50">
        <v>0.74164853144510523</v>
      </c>
      <c r="AC19" s="51">
        <v>0.61896548140991869</v>
      </c>
      <c r="AD19" s="21">
        <v>0</v>
      </c>
      <c r="AE19" s="29">
        <v>0</v>
      </c>
      <c r="AF19" s="21">
        <v>0</v>
      </c>
      <c r="AG19" s="20">
        <v>0</v>
      </c>
      <c r="AH19" s="18" t="s">
        <v>2</v>
      </c>
      <c r="AI19" s="29" t="s">
        <v>2</v>
      </c>
      <c r="AJ19" s="50" t="s">
        <v>2</v>
      </c>
      <c r="AK19" s="51">
        <v>0</v>
      </c>
      <c r="AL19" s="21">
        <v>-1081000</v>
      </c>
      <c r="AM19" s="29">
        <v>-1.0277264005808025E-2</v>
      </c>
      <c r="AN19" s="21">
        <v>-20127000</v>
      </c>
      <c r="AO19" s="20">
        <v>-0.18449750000000004</v>
      </c>
      <c r="AP19" s="18">
        <v>-11220512.13418182</v>
      </c>
      <c r="AQ19" s="23">
        <v>-0.16156636226677396</v>
      </c>
      <c r="AR19" s="50">
        <v>1.4425144266814816</v>
      </c>
      <c r="AS19" s="51">
        <v>10.379752205533599</v>
      </c>
      <c r="AT19" s="21">
        <v>-21246000</v>
      </c>
      <c r="AU19" s="29">
        <v>-0.21800322752161791</v>
      </c>
      <c r="AV19" s="21">
        <v>-8839000</v>
      </c>
      <c r="AW19" s="20">
        <v>-8.839000000000001E-2</v>
      </c>
      <c r="AX19" s="18">
        <v>-8171000</v>
      </c>
      <c r="AY19" s="79" t="s">
        <v>2</v>
      </c>
      <c r="AZ19" s="50">
        <v>1.0755741599728477</v>
      </c>
      <c r="BA19" s="51">
        <v>0.38459004047820766</v>
      </c>
    </row>
    <row r="20" spans="1:53" x14ac:dyDescent="0.3">
      <c r="A20" s="15"/>
      <c r="B20" s="59" t="s">
        <v>9</v>
      </c>
      <c r="C20" s="21">
        <f t="shared" si="0"/>
        <v>510063000</v>
      </c>
      <c r="D20" s="68"/>
      <c r="E20" s="69"/>
      <c r="F20" s="21">
        <v>590958000</v>
      </c>
      <c r="G20" s="29">
        <v>0.3241014283712858</v>
      </c>
      <c r="H20" s="21">
        <v>1092463000</v>
      </c>
      <c r="I20" s="29">
        <v>0.40164080882352948</v>
      </c>
      <c r="J20" s="18">
        <v>851950795.20508337</v>
      </c>
      <c r="K20" s="29">
        <v>0.32828718338410229</v>
      </c>
      <c r="L20" s="50">
        <v>0.77984407271009026</v>
      </c>
      <c r="M20" s="51">
        <v>1.4416435604646749</v>
      </c>
      <c r="N20" s="21">
        <v>95220000</v>
      </c>
      <c r="O20" s="29">
        <v>0.64948626208384752</v>
      </c>
      <c r="P20" s="21">
        <v>60704000</v>
      </c>
      <c r="Q20" s="35">
        <v>8.233567858032409E-2</v>
      </c>
      <c r="R20" s="18">
        <v>54801112.53139478</v>
      </c>
      <c r="S20" s="29">
        <v>0.49589772888332778</v>
      </c>
      <c r="T20" s="50">
        <v>0.90275949742018291</v>
      </c>
      <c r="U20" s="51">
        <v>0.57552103057545456</v>
      </c>
      <c r="V20" s="18">
        <v>-32941000</v>
      </c>
      <c r="W20" s="23">
        <v>-0.4497734692104316</v>
      </c>
      <c r="X20" s="21">
        <v>165007000</v>
      </c>
      <c r="Y20" s="35">
        <v>0.4078824719101124</v>
      </c>
      <c r="Z20" s="18">
        <v>-23762465.82161209</v>
      </c>
      <c r="AA20" s="29">
        <v>-7.5527409417105992E-2</v>
      </c>
      <c r="AB20" s="50">
        <v>-0.14400883490768335</v>
      </c>
      <c r="AC20" s="51">
        <v>0.72136443403697792</v>
      </c>
      <c r="AD20" s="21">
        <v>0</v>
      </c>
      <c r="AE20" s="29">
        <v>0</v>
      </c>
      <c r="AF20" s="21">
        <v>0</v>
      </c>
      <c r="AG20" s="20">
        <v>0</v>
      </c>
      <c r="AH20" s="18" t="s">
        <v>2</v>
      </c>
      <c r="AI20" s="29" t="s">
        <v>2</v>
      </c>
      <c r="AJ20" s="50" t="s">
        <v>2</v>
      </c>
      <c r="AK20" s="51">
        <v>0</v>
      </c>
      <c r="AL20" s="21">
        <v>0</v>
      </c>
      <c r="AM20" s="29">
        <v>0</v>
      </c>
      <c r="AN20" s="21">
        <v>0</v>
      </c>
      <c r="AO20" s="20">
        <v>0</v>
      </c>
      <c r="AP20" s="18" t="s">
        <v>2</v>
      </c>
      <c r="AQ20" s="23" t="s">
        <v>2</v>
      </c>
      <c r="AR20" s="50" t="s">
        <v>2</v>
      </c>
      <c r="AS20" s="51">
        <v>0</v>
      </c>
      <c r="AT20" s="21">
        <v>-143174000</v>
      </c>
      <c r="AU20" s="29">
        <v>-1.3318173746120607</v>
      </c>
      <c r="AV20" s="21">
        <v>-33964000</v>
      </c>
      <c r="AW20" s="20">
        <v>-0.67927999999999999</v>
      </c>
      <c r="AX20" s="18">
        <v>-48639000</v>
      </c>
      <c r="AY20" s="79" t="s">
        <v>2</v>
      </c>
      <c r="AZ20" s="50">
        <v>0.56792486161818401</v>
      </c>
      <c r="BA20" s="51">
        <v>0.33971950214424407</v>
      </c>
    </row>
    <row r="21" spans="1:53" x14ac:dyDescent="0.3">
      <c r="A21" s="15"/>
      <c r="B21" s="59" t="s">
        <v>10</v>
      </c>
      <c r="C21" s="21">
        <f t="shared" si="0"/>
        <v>254563000</v>
      </c>
      <c r="D21" s="68"/>
      <c r="E21" s="69"/>
      <c r="F21" s="21">
        <v>73131000</v>
      </c>
      <c r="G21" s="29">
        <v>0.13750070507396867</v>
      </c>
      <c r="H21" s="21">
        <v>21311000</v>
      </c>
      <c r="I21" s="29">
        <v>4.935178947368421E-2</v>
      </c>
      <c r="J21" s="18">
        <v>109413718.83898777</v>
      </c>
      <c r="K21" s="29">
        <v>0.20936550986440641</v>
      </c>
      <c r="L21" s="50">
        <v>5.1341428764012846</v>
      </c>
      <c r="M21" s="51">
        <v>1.496133224473722</v>
      </c>
      <c r="N21" s="21">
        <v>30553000</v>
      </c>
      <c r="O21" s="29">
        <v>0.11242903833351733</v>
      </c>
      <c r="P21" s="21">
        <v>71964000</v>
      </c>
      <c r="Q21" s="35">
        <v>0.49476177678331473</v>
      </c>
      <c r="R21" s="18">
        <v>72835872.363635123</v>
      </c>
      <c r="S21" s="29">
        <v>0.234007895921274</v>
      </c>
      <c r="T21" s="50">
        <v>1.0121153960818621</v>
      </c>
      <c r="U21" s="51">
        <v>2.3839188414766186</v>
      </c>
      <c r="V21" s="18">
        <v>209283000</v>
      </c>
      <c r="W21" s="23">
        <v>0.2598224896815356</v>
      </c>
      <c r="X21" s="21">
        <v>392415000</v>
      </c>
      <c r="Y21" s="35">
        <v>0.31873622417898878</v>
      </c>
      <c r="Z21" s="18">
        <v>228493768.74362224</v>
      </c>
      <c r="AA21" s="29">
        <v>0.28305409498548195</v>
      </c>
      <c r="AB21" s="50">
        <v>0.58227582723296067</v>
      </c>
      <c r="AC21" s="51">
        <v>1.0917932595749404</v>
      </c>
      <c r="AD21" s="21">
        <v>840000</v>
      </c>
      <c r="AE21" s="29">
        <v>4.9720189410245377E-3</v>
      </c>
      <c r="AF21" s="21">
        <v>22075000</v>
      </c>
      <c r="AG21" s="23">
        <v>0.17344642857142858</v>
      </c>
      <c r="AH21" s="18">
        <v>27018634.242272705</v>
      </c>
      <c r="AI21" s="29">
        <v>0.1708689313885339</v>
      </c>
      <c r="AJ21" s="50">
        <v>1.2239471910429311</v>
      </c>
      <c r="AK21" s="51">
        <v>32.16504076461036</v>
      </c>
      <c r="AL21" s="21">
        <v>-29281000</v>
      </c>
      <c r="AM21" s="29">
        <v>-0.13930669088707237</v>
      </c>
      <c r="AN21" s="21">
        <v>-1217000</v>
      </c>
      <c r="AO21" s="23">
        <v>-4.1834375000000005E-3</v>
      </c>
      <c r="AP21" s="18">
        <v>-24972818.58890909</v>
      </c>
      <c r="AQ21" s="23">
        <v>-0.17238326330803966</v>
      </c>
      <c r="AR21" s="50">
        <v>-18.519982406663178</v>
      </c>
      <c r="AS21" s="51">
        <v>0.85286768173590688</v>
      </c>
      <c r="AT21" s="21">
        <v>-29963000</v>
      </c>
      <c r="AU21" s="29">
        <v>-1.7309647602541884</v>
      </c>
      <c r="AV21" s="21">
        <v>-18142000</v>
      </c>
      <c r="AW21" s="23">
        <v>-0.79824800000000007</v>
      </c>
      <c r="AX21" s="18">
        <v>-32787000</v>
      </c>
      <c r="AY21" s="79" t="s">
        <v>2</v>
      </c>
      <c r="AZ21" s="50">
        <v>0.19275713813251016</v>
      </c>
      <c r="BA21" s="51">
        <v>1.0942495744751861</v>
      </c>
    </row>
    <row r="22" spans="1:53" x14ac:dyDescent="0.3">
      <c r="A22" s="15"/>
      <c r="B22" s="59" t="s">
        <v>11</v>
      </c>
      <c r="C22" s="21">
        <f t="shared" si="0"/>
        <v>2143562000</v>
      </c>
      <c r="D22" s="68"/>
      <c r="E22" s="69"/>
      <c r="F22" s="21">
        <v>683927000</v>
      </c>
      <c r="G22" s="29">
        <v>0.60577829561979735</v>
      </c>
      <c r="H22" s="21">
        <v>688390000</v>
      </c>
      <c r="I22" s="29">
        <v>0.66075828970331585</v>
      </c>
      <c r="J22" s="18">
        <v>582534448.62255836</v>
      </c>
      <c r="K22" s="29">
        <v>0.65512322923359501</v>
      </c>
      <c r="L22" s="50">
        <v>0.84622735458469522</v>
      </c>
      <c r="M22" s="51">
        <v>0.85174945370274657</v>
      </c>
      <c r="N22" s="21">
        <v>170308000</v>
      </c>
      <c r="O22" s="29">
        <v>0.60071634937583984</v>
      </c>
      <c r="P22" s="21">
        <v>186317000</v>
      </c>
      <c r="Q22" s="35">
        <v>0.53933300702097875</v>
      </c>
      <c r="R22" s="18">
        <v>178308942.18280083</v>
      </c>
      <c r="S22" s="29">
        <v>0.5842143112224909</v>
      </c>
      <c r="T22" s="50">
        <v>0.95701917797517577</v>
      </c>
      <c r="U22" s="51">
        <v>1.0469792504333375</v>
      </c>
      <c r="V22" s="18">
        <v>1015436000</v>
      </c>
      <c r="W22" s="23">
        <v>0.62124139311894466</v>
      </c>
      <c r="X22" s="21">
        <v>886008000</v>
      </c>
      <c r="Y22" s="35">
        <v>0.64373104359313083</v>
      </c>
      <c r="Z22" s="18">
        <v>861368733.60447633</v>
      </c>
      <c r="AA22" s="29">
        <v>0.63821956147365877</v>
      </c>
      <c r="AB22" s="50">
        <v>0.97219069534866087</v>
      </c>
      <c r="AC22" s="51">
        <v>0.84827476434209181</v>
      </c>
      <c r="AD22" s="21">
        <v>66476000</v>
      </c>
      <c r="AE22" s="29">
        <v>0.6916003821017489</v>
      </c>
      <c r="AF22" s="21">
        <v>125110000</v>
      </c>
      <c r="AG22" s="20">
        <v>0.57921296296296299</v>
      </c>
      <c r="AH22" s="18">
        <v>126270174.73036362</v>
      </c>
      <c r="AI22" s="29">
        <v>0.65040200574828388</v>
      </c>
      <c r="AJ22" s="50">
        <v>1.0092732373940023</v>
      </c>
      <c r="AK22" s="51">
        <v>1.8994851484801074</v>
      </c>
      <c r="AL22" s="21">
        <v>192313000</v>
      </c>
      <c r="AM22" s="29">
        <v>0.59627399746883258</v>
      </c>
      <c r="AN22" s="21">
        <v>144614000</v>
      </c>
      <c r="AO22" s="20">
        <v>0.40788564102564107</v>
      </c>
      <c r="AP22" s="18">
        <v>83915019.312363625</v>
      </c>
      <c r="AQ22" s="23">
        <v>0.39963309625147692</v>
      </c>
      <c r="AR22" s="50">
        <v>0.5802689871821789</v>
      </c>
      <c r="AS22" s="51">
        <v>0.4363460572731101</v>
      </c>
      <c r="AT22" s="21">
        <v>15102000</v>
      </c>
      <c r="AU22" s="29">
        <v>0.52742165920563866</v>
      </c>
      <c r="AV22" s="21">
        <v>38224000</v>
      </c>
      <c r="AW22" s="20">
        <v>0.58397777777777782</v>
      </c>
      <c r="AX22" s="18">
        <v>15335044.05318182</v>
      </c>
      <c r="AY22" s="79">
        <v>0.16204380799040205</v>
      </c>
      <c r="AZ22" s="50">
        <v>0.40118888795473573</v>
      </c>
      <c r="BA22" s="51">
        <v>1.0154313371197072</v>
      </c>
    </row>
    <row r="23" spans="1:53" x14ac:dyDescent="0.3">
      <c r="A23" s="15"/>
      <c r="B23" s="59" t="s">
        <v>12</v>
      </c>
      <c r="C23" s="21">
        <f t="shared" si="0"/>
        <v>2176148000</v>
      </c>
      <c r="D23" s="68"/>
      <c r="E23" s="69"/>
      <c r="F23" s="21">
        <v>611872000</v>
      </c>
      <c r="G23" s="29">
        <v>0.41493818704606644</v>
      </c>
      <c r="H23" s="21">
        <v>843937000</v>
      </c>
      <c r="I23" s="29">
        <v>0.45911508407517315</v>
      </c>
      <c r="J23" s="18">
        <v>735512597.3307842</v>
      </c>
      <c r="K23" s="29">
        <v>0.4330576549581398</v>
      </c>
      <c r="L23" s="50">
        <v>0.8715254780046191</v>
      </c>
      <c r="M23" s="51">
        <v>1.2020693826989701</v>
      </c>
      <c r="N23" s="21">
        <v>223965000</v>
      </c>
      <c r="O23" s="29">
        <v>0.35203250522272683</v>
      </c>
      <c r="P23" s="21">
        <v>269541000</v>
      </c>
      <c r="Q23" s="35">
        <v>0.89575017673609225</v>
      </c>
      <c r="R23" s="18">
        <v>305936830.90772021</v>
      </c>
      <c r="S23" s="29">
        <v>0.33574293158700474</v>
      </c>
      <c r="T23" s="50">
        <v>1.1350289229012291</v>
      </c>
      <c r="U23" s="51">
        <v>1.3660028616423112</v>
      </c>
      <c r="V23" s="18">
        <v>1240290000</v>
      </c>
      <c r="W23" s="23">
        <v>0.38719177347425643</v>
      </c>
      <c r="X23" s="21">
        <v>1537340000</v>
      </c>
      <c r="Y23" s="35">
        <v>0.41255769699926814</v>
      </c>
      <c r="Z23" s="18">
        <v>1464783291.7422926</v>
      </c>
      <c r="AA23" s="29">
        <v>0.41025614190047205</v>
      </c>
      <c r="AB23" s="50">
        <v>0.9528037335542513</v>
      </c>
      <c r="AC23" s="51">
        <v>1.1810006464151872</v>
      </c>
      <c r="AD23" s="21">
        <v>60781000</v>
      </c>
      <c r="AE23" s="29">
        <v>0.22013617940385294</v>
      </c>
      <c r="AF23" s="21">
        <v>174455000</v>
      </c>
      <c r="AG23" s="20">
        <v>0.29872431506849317</v>
      </c>
      <c r="AH23" s="18">
        <v>452220502.80181813</v>
      </c>
      <c r="AI23" s="29">
        <v>0.41544646229033844</v>
      </c>
      <c r="AJ23" s="50">
        <v>2.5921899790881211</v>
      </c>
      <c r="AK23" s="51">
        <v>7.4401622678438679</v>
      </c>
      <c r="AL23" s="21">
        <v>31216000</v>
      </c>
      <c r="AM23" s="29">
        <v>0.27173777134129457</v>
      </c>
      <c r="AN23" s="21">
        <v>48472000</v>
      </c>
      <c r="AO23" s="20">
        <v>0.13671589743589746</v>
      </c>
      <c r="AP23" s="18">
        <v>62598972.293909103</v>
      </c>
      <c r="AQ23" s="23">
        <v>0.25592088608245112</v>
      </c>
      <c r="AR23" s="50">
        <v>1.291446036761617</v>
      </c>
      <c r="AS23" s="51">
        <v>2.0053489330442433</v>
      </c>
      <c r="AT23" s="21">
        <v>8024000</v>
      </c>
      <c r="AU23" s="29">
        <v>0.18312413120604162</v>
      </c>
      <c r="AV23" s="21">
        <v>29731000</v>
      </c>
      <c r="AW23" s="20">
        <v>0.3028157407407408</v>
      </c>
      <c r="AX23" s="18">
        <v>-12260858.57395453</v>
      </c>
      <c r="AY23" s="79">
        <v>-9.2086832166123664E-2</v>
      </c>
      <c r="AZ23" s="50">
        <v>-0.4123930770560873</v>
      </c>
      <c r="BA23" s="51">
        <v>-1.5280232519883512</v>
      </c>
    </row>
    <row r="24" spans="1:53" x14ac:dyDescent="0.3">
      <c r="A24" s="15"/>
      <c r="B24" s="59" t="s">
        <v>13</v>
      </c>
      <c r="C24" s="21">
        <f t="shared" si="0"/>
        <v>6334939000</v>
      </c>
      <c r="D24" s="68"/>
      <c r="E24" s="69"/>
      <c r="F24" s="21">
        <v>1729248000</v>
      </c>
      <c r="G24" s="29">
        <v>0.34118057484959918</v>
      </c>
      <c r="H24" s="21">
        <v>1656211000</v>
      </c>
      <c r="I24" s="29">
        <v>0.36291476095617536</v>
      </c>
      <c r="J24" s="18">
        <v>2028280077.7825463</v>
      </c>
      <c r="K24" s="29">
        <v>0.35233242041505741</v>
      </c>
      <c r="L24" s="50">
        <v>1.2246507708151595</v>
      </c>
      <c r="M24" s="51">
        <v>1.1729260798812815</v>
      </c>
      <c r="N24" s="21">
        <v>193394000</v>
      </c>
      <c r="O24" s="29">
        <v>0.28996855418779982</v>
      </c>
      <c r="P24" s="21">
        <v>198044000</v>
      </c>
      <c r="Q24" s="35">
        <v>0.25068860759493672</v>
      </c>
      <c r="R24" s="18">
        <v>211490224.46990448</v>
      </c>
      <c r="S24" s="29">
        <v>0.2590458786466735</v>
      </c>
      <c r="T24" s="50">
        <v>1.0678951367873022</v>
      </c>
      <c r="U24" s="51">
        <v>1.0935717988660687</v>
      </c>
      <c r="V24" s="18">
        <v>4412297000</v>
      </c>
      <c r="W24" s="23">
        <v>0.34418518514841473</v>
      </c>
      <c r="X24" s="21">
        <v>3774144000</v>
      </c>
      <c r="Y24" s="35">
        <v>0.31711183658753817</v>
      </c>
      <c r="Z24" s="18">
        <v>3691513392.6482277</v>
      </c>
      <c r="AA24" s="29">
        <v>0.32868725969199192</v>
      </c>
      <c r="AB24" s="50">
        <v>0.97810613284713765</v>
      </c>
      <c r="AC24" s="51">
        <v>0.83664209200972361</v>
      </c>
      <c r="AD24" s="21">
        <v>0</v>
      </c>
      <c r="AE24" s="29">
        <v>0</v>
      </c>
      <c r="AF24" s="21">
        <v>0</v>
      </c>
      <c r="AG24" s="20">
        <v>0</v>
      </c>
      <c r="AH24" s="18" t="s">
        <v>2</v>
      </c>
      <c r="AI24" s="29" t="s">
        <v>2</v>
      </c>
      <c r="AJ24" s="50" t="s">
        <v>2</v>
      </c>
      <c r="AK24" s="51">
        <v>0</v>
      </c>
      <c r="AL24" s="21">
        <v>0</v>
      </c>
      <c r="AM24" s="29">
        <v>0</v>
      </c>
      <c r="AN24" s="21">
        <v>0</v>
      </c>
      <c r="AO24" s="20">
        <v>0</v>
      </c>
      <c r="AP24" s="18" t="s">
        <v>2</v>
      </c>
      <c r="AQ24" s="23" t="s">
        <v>2</v>
      </c>
      <c r="AR24" s="50" t="s">
        <v>2</v>
      </c>
      <c r="AS24" s="51">
        <v>0</v>
      </c>
      <c r="AT24" s="21">
        <v>0</v>
      </c>
      <c r="AU24" s="29">
        <v>0</v>
      </c>
      <c r="AV24" s="21">
        <v>0</v>
      </c>
      <c r="AW24" s="20">
        <v>0</v>
      </c>
      <c r="AX24" s="18" t="s">
        <v>2</v>
      </c>
      <c r="AY24" s="79" t="s">
        <v>2</v>
      </c>
      <c r="AZ24" s="50" t="s">
        <v>2</v>
      </c>
      <c r="BA24" s="51">
        <v>0</v>
      </c>
    </row>
    <row r="25" spans="1:53" x14ac:dyDescent="0.3">
      <c r="A25" s="15"/>
      <c r="B25" s="59" t="s">
        <v>14</v>
      </c>
      <c r="C25" s="21">
        <f t="shared" si="0"/>
        <v>3309808000</v>
      </c>
      <c r="D25" s="68"/>
      <c r="E25" s="69"/>
      <c r="F25" s="21"/>
      <c r="G25" s="29">
        <v>0</v>
      </c>
      <c r="H25" s="21">
        <v>0</v>
      </c>
      <c r="I25" s="29">
        <v>0</v>
      </c>
      <c r="J25" s="18">
        <v>0</v>
      </c>
      <c r="K25" s="29" t="s">
        <v>2</v>
      </c>
      <c r="L25" s="50" t="s">
        <v>2</v>
      </c>
      <c r="M25" s="51">
        <v>0</v>
      </c>
      <c r="N25" s="21">
        <v>0</v>
      </c>
      <c r="O25" s="29">
        <v>0</v>
      </c>
      <c r="P25" s="21">
        <v>0</v>
      </c>
      <c r="Q25" s="35"/>
      <c r="R25" s="18">
        <v>0</v>
      </c>
      <c r="S25" s="29" t="s">
        <v>2</v>
      </c>
      <c r="T25" s="50" t="s">
        <v>2</v>
      </c>
      <c r="U25" s="51">
        <v>0</v>
      </c>
      <c r="V25" s="18">
        <v>3329191000</v>
      </c>
      <c r="W25" s="23">
        <v>0</v>
      </c>
      <c r="X25" s="21">
        <v>3291177000</v>
      </c>
      <c r="Y25" s="35">
        <v>0.32521500171936696</v>
      </c>
      <c r="Z25" s="18">
        <v>2686851227.0226159</v>
      </c>
      <c r="AA25" s="29">
        <v>0.28835381253818138</v>
      </c>
      <c r="AB25" s="50">
        <v>0.81638004489658744</v>
      </c>
      <c r="AC25" s="51">
        <v>0.8070582994555181</v>
      </c>
      <c r="AD25" s="21">
        <v>-17663000</v>
      </c>
      <c r="AE25" s="29">
        <v>-3.5986316187202265E-2</v>
      </c>
      <c r="AF25" s="21">
        <v>355734000</v>
      </c>
      <c r="AG25" s="20">
        <v>0.38743306930693072</v>
      </c>
      <c r="AH25" s="18">
        <v>293642690.87454551</v>
      </c>
      <c r="AI25" s="29">
        <v>0.33999570558046305</v>
      </c>
      <c r="AJ25" s="50">
        <v>0.82545579245881895</v>
      </c>
      <c r="AK25" s="51">
        <v>-16.624734805783021</v>
      </c>
      <c r="AL25" s="21">
        <v>-1720000</v>
      </c>
      <c r="AM25" s="29">
        <v>-3.2984658298465828E-2</v>
      </c>
      <c r="AN25" s="21">
        <v>6819000</v>
      </c>
      <c r="AO25" s="20">
        <v>6.8190000000000001E-2</v>
      </c>
      <c r="AP25" s="18">
        <v>7099928.6461818218</v>
      </c>
      <c r="AQ25" s="23">
        <v>8.5359389712483566E-2</v>
      </c>
      <c r="AR25" s="50">
        <v>1.0411979243557445</v>
      </c>
      <c r="AS25" s="51">
        <v>-4.1278654919661752</v>
      </c>
      <c r="AT25" s="21">
        <v>0</v>
      </c>
      <c r="AU25" s="29">
        <v>0</v>
      </c>
      <c r="AV25" s="21">
        <v>0</v>
      </c>
      <c r="AW25" s="20">
        <v>0</v>
      </c>
      <c r="AX25" s="18">
        <v>0</v>
      </c>
      <c r="AY25" s="79" t="s">
        <v>2</v>
      </c>
      <c r="AZ25" s="50" t="s">
        <v>2</v>
      </c>
      <c r="BA25" s="51">
        <v>0</v>
      </c>
    </row>
    <row r="26" spans="1:53" x14ac:dyDescent="0.3">
      <c r="A26" s="15"/>
      <c r="B26" s="59" t="s">
        <v>15</v>
      </c>
      <c r="C26" s="37">
        <f t="shared" si="0"/>
        <v>209283000</v>
      </c>
      <c r="D26" s="68"/>
      <c r="E26" s="69"/>
      <c r="F26" s="37"/>
      <c r="G26" s="39">
        <v>0</v>
      </c>
      <c r="H26" s="37">
        <v>0</v>
      </c>
      <c r="I26" s="39">
        <v>0</v>
      </c>
      <c r="J26" s="37" t="s">
        <v>2</v>
      </c>
      <c r="K26" s="39" t="s">
        <v>2</v>
      </c>
      <c r="L26" s="44" t="s">
        <v>2</v>
      </c>
      <c r="M26" s="45">
        <v>0</v>
      </c>
      <c r="N26" s="37">
        <v>0</v>
      </c>
      <c r="O26" s="39">
        <v>0</v>
      </c>
      <c r="P26" s="37">
        <v>0</v>
      </c>
      <c r="Q26" s="24"/>
      <c r="R26" s="37" t="s">
        <v>2</v>
      </c>
      <c r="S26" s="39" t="s">
        <v>2</v>
      </c>
      <c r="T26" s="44" t="s">
        <v>2</v>
      </c>
      <c r="U26" s="45">
        <v>0</v>
      </c>
      <c r="V26" s="18">
        <v>209283000</v>
      </c>
      <c r="W26" s="23">
        <v>0</v>
      </c>
      <c r="X26" s="21">
        <v>360181000</v>
      </c>
      <c r="Y26" s="24">
        <v>0.52871169934091045</v>
      </c>
      <c r="Z26" s="18">
        <v>170836212.11615688</v>
      </c>
      <c r="AA26" s="29">
        <v>0.43503205025488728</v>
      </c>
      <c r="AB26" s="50">
        <v>0.47430656285633299</v>
      </c>
      <c r="AC26" s="51">
        <v>0.81629282892617594</v>
      </c>
      <c r="AD26" s="21">
        <v>0</v>
      </c>
      <c r="AE26" s="29">
        <v>0</v>
      </c>
      <c r="AF26" s="21">
        <v>0</v>
      </c>
      <c r="AG26" s="23">
        <v>0</v>
      </c>
      <c r="AH26" s="18" t="s">
        <v>2</v>
      </c>
      <c r="AI26" s="29" t="s">
        <v>2</v>
      </c>
      <c r="AJ26" s="50" t="s">
        <v>2</v>
      </c>
      <c r="AK26" s="51">
        <v>0</v>
      </c>
      <c r="AL26" s="21">
        <v>0</v>
      </c>
      <c r="AM26" s="29">
        <v>0</v>
      </c>
      <c r="AN26" s="21">
        <v>0</v>
      </c>
      <c r="AO26" s="23">
        <v>0</v>
      </c>
      <c r="AP26" s="18" t="s">
        <v>2</v>
      </c>
      <c r="AQ26" s="23" t="s">
        <v>2</v>
      </c>
      <c r="AR26" s="50" t="s">
        <v>2</v>
      </c>
      <c r="AS26" s="51">
        <v>0</v>
      </c>
      <c r="AT26" s="21">
        <v>0</v>
      </c>
      <c r="AU26" s="29">
        <v>0</v>
      </c>
      <c r="AV26" s="21">
        <v>0</v>
      </c>
      <c r="AW26" s="23">
        <v>0</v>
      </c>
      <c r="AX26" s="18" t="s">
        <v>2</v>
      </c>
      <c r="AY26" s="79" t="s">
        <v>2</v>
      </c>
      <c r="AZ26" s="50" t="s">
        <v>2</v>
      </c>
      <c r="BA26" s="51">
        <v>0</v>
      </c>
    </row>
    <row r="27" spans="1:53" x14ac:dyDescent="0.3">
      <c r="A27" s="15"/>
      <c r="B27" s="59" t="s">
        <v>16</v>
      </c>
      <c r="C27" s="21">
        <f t="shared" si="0"/>
        <v>1611993000</v>
      </c>
      <c r="D27" s="68"/>
      <c r="E27" s="69"/>
      <c r="F27" s="21">
        <v>1522764000</v>
      </c>
      <c r="G27" s="29">
        <v>0.49102253636483828</v>
      </c>
      <c r="H27" s="21">
        <v>930204000</v>
      </c>
      <c r="I27" s="29">
        <v>0.30049734178378751</v>
      </c>
      <c r="J27" s="18">
        <v>716737723.64055049</v>
      </c>
      <c r="K27" s="29">
        <v>0.25946735085074829</v>
      </c>
      <c r="L27" s="50">
        <v>0.77051670777652048</v>
      </c>
      <c r="M27" s="51">
        <v>0.47068207787979655</v>
      </c>
      <c r="N27" s="21">
        <v>152633000</v>
      </c>
      <c r="O27" s="29">
        <v>6.8182789131448276E-2</v>
      </c>
      <c r="P27" s="21">
        <v>-376894000</v>
      </c>
      <c r="Q27" s="19" t="e">
        <v>#DIV/0!</v>
      </c>
      <c r="R27" s="18">
        <v>-86475226.11363633</v>
      </c>
      <c r="S27" s="29">
        <v>-6.5654031312285643E-2</v>
      </c>
      <c r="T27" s="50">
        <v>1.7705582309253098</v>
      </c>
      <c r="U27" s="51">
        <v>-0.56655655142489714</v>
      </c>
      <c r="V27" s="18">
        <v>-63404000</v>
      </c>
      <c r="W27" s="23">
        <v>-3.3148794190058846E-2</v>
      </c>
      <c r="X27" s="21">
        <v>-13396000</v>
      </c>
      <c r="Y27" s="19">
        <v>-1.6378858072719837E-2</v>
      </c>
      <c r="Z27" s="18">
        <v>-76785346.590909094</v>
      </c>
      <c r="AA27" s="29">
        <v>-0.27934914326337634</v>
      </c>
      <c r="AB27" s="50">
        <v>-3.731960778658487</v>
      </c>
      <c r="AC27" s="51">
        <v>1.2110489336778294</v>
      </c>
      <c r="AD27" s="21">
        <v>0</v>
      </c>
      <c r="AE27" s="29">
        <v>0</v>
      </c>
      <c r="AF27" s="21">
        <v>0</v>
      </c>
      <c r="AG27" s="20">
        <v>0</v>
      </c>
      <c r="AH27" s="18" t="s">
        <v>2</v>
      </c>
      <c r="AI27" s="29" t="s">
        <v>2</v>
      </c>
      <c r="AJ27" s="50" t="s">
        <v>2</v>
      </c>
      <c r="AK27" s="51">
        <v>0</v>
      </c>
      <c r="AL27" s="21">
        <v>0</v>
      </c>
      <c r="AM27" s="29">
        <v>0</v>
      </c>
      <c r="AN27" s="21">
        <v>0</v>
      </c>
      <c r="AO27" s="20">
        <v>0</v>
      </c>
      <c r="AP27" s="18">
        <v>0</v>
      </c>
      <c r="AQ27" s="23" t="s">
        <v>2</v>
      </c>
      <c r="AR27" s="50" t="s">
        <v>2</v>
      </c>
      <c r="AS27" s="51">
        <v>0</v>
      </c>
      <c r="AT27" s="21">
        <v>0</v>
      </c>
      <c r="AU27" s="29">
        <v>0</v>
      </c>
      <c r="AV27" s="21">
        <v>0</v>
      </c>
      <c r="AW27" s="20">
        <v>0</v>
      </c>
      <c r="AX27" s="18" t="s">
        <v>2</v>
      </c>
      <c r="AY27" s="79" t="s">
        <v>2</v>
      </c>
      <c r="AZ27" s="50" t="s">
        <v>2</v>
      </c>
      <c r="BA27" s="51">
        <v>0</v>
      </c>
    </row>
    <row r="28" spans="1:53" ht="17.25" thickBot="1" x14ac:dyDescent="0.35">
      <c r="A28" s="9" t="s">
        <v>18</v>
      </c>
      <c r="B28" s="61"/>
      <c r="C28" s="10">
        <f t="shared" si="0"/>
        <v>5966927000</v>
      </c>
      <c r="D28" s="72">
        <v>7559540000</v>
      </c>
      <c r="E28" s="73">
        <v>6345375504.9617491</v>
      </c>
      <c r="F28" s="10">
        <v>4952256000</v>
      </c>
      <c r="G28" s="12">
        <v>0.16300644080346127</v>
      </c>
      <c r="H28" s="10">
        <v>5004459000</v>
      </c>
      <c r="I28" s="12">
        <v>0.16616021085114044</v>
      </c>
      <c r="J28" s="10">
        <v>5112364646.3949394</v>
      </c>
      <c r="K28" s="12">
        <v>0.16099830659556011</v>
      </c>
      <c r="L28" s="52">
        <v>1.0215619003762324</v>
      </c>
      <c r="M28" s="53">
        <v>1.0323304462440834</v>
      </c>
      <c r="N28" s="10">
        <v>-197543000</v>
      </c>
      <c r="O28" s="12">
        <v>-2.5207582321527696E-2</v>
      </c>
      <c r="P28" s="10">
        <v>-676572000</v>
      </c>
      <c r="Q28" s="12">
        <v>-8.3613714403071276E-2</v>
      </c>
      <c r="R28" s="10">
        <v>-450527798.59227991</v>
      </c>
      <c r="S28" s="12">
        <v>-6.235065879386717E-2</v>
      </c>
      <c r="T28" s="52">
        <v>1.3341022114537995</v>
      </c>
      <c r="U28" s="53">
        <v>2.2806568625174259</v>
      </c>
      <c r="V28" s="10">
        <v>4755905000</v>
      </c>
      <c r="W28" s="12">
        <v>0.11270494668393281</v>
      </c>
      <c r="X28" s="10">
        <v>4457259000</v>
      </c>
      <c r="Y28" s="12">
        <v>0.10681960879414583</v>
      </c>
      <c r="Z28" s="10">
        <v>2674365284.8730965</v>
      </c>
      <c r="AA28" s="12">
        <v>7.29600054020213E-2</v>
      </c>
      <c r="AB28" s="52">
        <v>0.60000221770220141</v>
      </c>
      <c r="AC28" s="53">
        <v>0.5623252114735463</v>
      </c>
      <c r="AD28" s="10">
        <v>-1920032000</v>
      </c>
      <c r="AE28" s="12">
        <v>-1.1409905923868242</v>
      </c>
      <c r="AF28" s="10">
        <v>-158042000</v>
      </c>
      <c r="AG28" s="12">
        <v>-5.3491138461538468E-2</v>
      </c>
      <c r="AH28" s="10">
        <v>186317702.85085702</v>
      </c>
      <c r="AI28" s="12">
        <v>5.2994775874546762E-2</v>
      </c>
      <c r="AJ28" s="52">
        <v>3.17891258558394</v>
      </c>
      <c r="AK28" s="53">
        <v>-9.7038852920606017E-2</v>
      </c>
      <c r="AL28" s="10">
        <v>-723339000</v>
      </c>
      <c r="AM28" s="12">
        <v>-0.77397151275389364</v>
      </c>
      <c r="AN28" s="10">
        <v>-826445000</v>
      </c>
      <c r="AO28" s="12">
        <v>-0.67540081723625567</v>
      </c>
      <c r="AP28" s="10">
        <v>-853992301.04409087</v>
      </c>
      <c r="AQ28" s="11">
        <v>-1.1143432682567527</v>
      </c>
      <c r="AR28" s="52">
        <v>0.9666677140716069</v>
      </c>
      <c r="AS28" s="53">
        <v>1.1806252684344283</v>
      </c>
      <c r="AT28" s="10">
        <v>-900320000</v>
      </c>
      <c r="AU28" s="12">
        <v>-3.054831704668838</v>
      </c>
      <c r="AV28" s="10">
        <v>-241119000</v>
      </c>
      <c r="AW28" s="12">
        <v>-0.66307725000000006</v>
      </c>
      <c r="AX28" s="10">
        <v>-323152029.5207727</v>
      </c>
      <c r="AY28" s="11">
        <v>-1.4187041867383257</v>
      </c>
      <c r="AZ28" s="52">
        <v>0.65978197686299001</v>
      </c>
      <c r="BA28" s="53">
        <v>0.35893019095518558</v>
      </c>
    </row>
  </sheetData>
  <mergeCells count="8">
    <mergeCell ref="A1:B2"/>
    <mergeCell ref="D1:E1"/>
    <mergeCell ref="F1:M1"/>
    <mergeCell ref="N1:U1"/>
    <mergeCell ref="AT1:BA1"/>
    <mergeCell ref="AL1:AS1"/>
    <mergeCell ref="V1:AC1"/>
    <mergeCell ref="AD1:AK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9635-131D-4F11-8BC1-3F8BCBCD7FB6}">
  <dimension ref="B1:H48"/>
  <sheetViews>
    <sheetView workbookViewId="0">
      <selection activeCell="N18" sqref="N18"/>
    </sheetView>
    <sheetView tabSelected="1" workbookViewId="1">
      <selection activeCell="B1" sqref="B1:G6"/>
    </sheetView>
  </sheetViews>
  <sheetFormatPr defaultRowHeight="16.5" x14ac:dyDescent="0.3"/>
  <cols>
    <col min="2" max="2" width="18.125" style="110" bestFit="1" customWidth="1"/>
    <col min="3" max="3" width="8.25" style="111" bestFit="1" customWidth="1"/>
    <col min="4" max="4" width="7.25" style="111" bestFit="1" customWidth="1"/>
    <col min="5" max="5" width="8.25" style="111" bestFit="1" customWidth="1"/>
    <col min="6" max="6" width="10.5" bestFit="1" customWidth="1"/>
    <col min="7" max="7" width="10.5" style="110" bestFit="1" customWidth="1"/>
    <col min="8" max="8" width="21.625" bestFit="1" customWidth="1"/>
  </cols>
  <sheetData>
    <row r="1" spans="2:8" x14ac:dyDescent="0.3">
      <c r="B1" s="110" t="s">
        <v>39</v>
      </c>
      <c r="C1" s="111" t="s">
        <v>42</v>
      </c>
      <c r="D1" s="111" t="s">
        <v>43</v>
      </c>
      <c r="E1" s="111" t="s">
        <v>41</v>
      </c>
      <c r="F1" s="110" t="s">
        <v>45</v>
      </c>
      <c r="G1" s="110" t="s">
        <v>44</v>
      </c>
    </row>
    <row r="2" spans="2:8" x14ac:dyDescent="0.3">
      <c r="B2" s="110" t="s">
        <v>34</v>
      </c>
      <c r="C2" s="111">
        <v>91660033000</v>
      </c>
      <c r="D2" s="111">
        <v>92926577000</v>
      </c>
      <c r="E2" s="111">
        <v>88159503953</v>
      </c>
      <c r="F2" s="109">
        <f>E2/D2</f>
        <v>0.94870064947081822</v>
      </c>
      <c r="G2" s="109">
        <f>E2/C2</f>
        <v>0.9618096466646483</v>
      </c>
    </row>
    <row r="3" spans="2:8" x14ac:dyDescent="0.3">
      <c r="B3" s="110" t="s">
        <v>35</v>
      </c>
      <c r="C3" s="111">
        <v>20080935000</v>
      </c>
      <c r="D3" s="111">
        <v>21344881000</v>
      </c>
      <c r="E3" s="111">
        <v>20130716504.961754</v>
      </c>
      <c r="F3" s="109">
        <f>E3/D3</f>
        <v>0.94311682997725566</v>
      </c>
      <c r="G3" s="109">
        <f t="shared" ref="G3:G4" si="0">E3/C3</f>
        <v>1.0024790431800987</v>
      </c>
    </row>
    <row r="4" spans="2:8" x14ac:dyDescent="0.3">
      <c r="B4" s="110" t="s">
        <v>37</v>
      </c>
      <c r="C4" s="111">
        <v>5966927000</v>
      </c>
      <c r="D4" s="111">
        <v>7559540000</v>
      </c>
      <c r="E4" s="111">
        <v>6345375504.9617491</v>
      </c>
      <c r="F4" s="109">
        <f>E4/D4</f>
        <v>0.83938645803339207</v>
      </c>
      <c r="G4" s="109">
        <f t="shared" si="0"/>
        <v>1.0634243564504391</v>
      </c>
    </row>
    <row r="5" spans="2:8" x14ac:dyDescent="0.3">
      <c r="B5" s="110" t="s">
        <v>36</v>
      </c>
      <c r="C5" s="114">
        <f>C3/C2*1.1</f>
        <v>0.24098865969206013</v>
      </c>
      <c r="D5" s="114">
        <f t="shared" ref="D5:E5" si="1">D3/D2*1.1</f>
        <v>0.25266581270931782</v>
      </c>
      <c r="E5" s="114">
        <f t="shared" si="1"/>
        <v>0.25117868366481882</v>
      </c>
      <c r="F5" s="115">
        <f>E5-D5</f>
        <v>-1.4871290444989915E-3</v>
      </c>
      <c r="G5" s="115">
        <f>E5-C5</f>
        <v>1.0190023972758699E-2</v>
      </c>
    </row>
    <row r="6" spans="2:8" x14ac:dyDescent="0.3">
      <c r="B6" s="110" t="s">
        <v>38</v>
      </c>
      <c r="C6" s="114">
        <f>C4/C2*1.1</f>
        <v>7.1608306097816932E-2</v>
      </c>
      <c r="D6" s="114">
        <f t="shared" ref="D6:E6" si="2">D4/D2*1.1</f>
        <v>8.9484561558745471E-2</v>
      </c>
      <c r="E6" s="114">
        <f t="shared" si="2"/>
        <v>7.9173687946101523E-2</v>
      </c>
      <c r="F6" s="115">
        <f>E6-D6</f>
        <v>-1.0310873612643948E-2</v>
      </c>
      <c r="G6" s="115">
        <f>E6-C6</f>
        <v>7.5653818482845914E-3</v>
      </c>
      <c r="H6" s="116"/>
    </row>
    <row r="7" spans="2:8" x14ac:dyDescent="0.3">
      <c r="F7" s="113"/>
      <c r="G7" s="112"/>
    </row>
    <row r="8" spans="2:8" x14ac:dyDescent="0.3">
      <c r="B8" s="110" t="s">
        <v>46</v>
      </c>
      <c r="C8" s="111" t="s">
        <v>42</v>
      </c>
      <c r="D8" s="111" t="s">
        <v>43</v>
      </c>
      <c r="E8" s="111" t="s">
        <v>41</v>
      </c>
      <c r="F8" s="110" t="s">
        <v>45</v>
      </c>
      <c r="G8" s="110" t="s">
        <v>44</v>
      </c>
    </row>
    <row r="9" spans="2:8" x14ac:dyDescent="0.3">
      <c r="B9" s="110" t="s">
        <v>40</v>
      </c>
      <c r="C9" s="111">
        <v>33418812000</v>
      </c>
      <c r="D9" s="111">
        <v>33130103000</v>
      </c>
      <c r="E9" s="111">
        <v>34929566838</v>
      </c>
      <c r="F9" s="109">
        <f>E9/D9</f>
        <v>1.0543150692287313</v>
      </c>
      <c r="G9" s="109">
        <f>E9/C9</f>
        <v>1.0452067188384793</v>
      </c>
    </row>
    <row r="10" spans="2:8" x14ac:dyDescent="0.3">
      <c r="B10" s="110" t="s">
        <v>35</v>
      </c>
      <c r="C10" s="111">
        <v>9418597000</v>
      </c>
      <c r="D10" s="111">
        <v>9311312000</v>
      </c>
      <c r="E10" s="111">
        <v>9419217646.3949394</v>
      </c>
      <c r="F10" s="109">
        <f>E10/D10</f>
        <v>1.0115886618765368</v>
      </c>
      <c r="G10" s="109">
        <f t="shared" ref="G10:G11" si="3">E10/C10</f>
        <v>1.0000658958436102</v>
      </c>
    </row>
    <row r="11" spans="2:8" x14ac:dyDescent="0.3">
      <c r="B11" s="110" t="s">
        <v>37</v>
      </c>
      <c r="C11" s="111">
        <v>4952256000</v>
      </c>
      <c r="D11" s="111">
        <v>5004459000</v>
      </c>
      <c r="E11" s="111">
        <v>5112364646.3949394</v>
      </c>
      <c r="F11" s="109">
        <f>E11/D11</f>
        <v>1.0215619003762324</v>
      </c>
      <c r="G11" s="109">
        <f t="shared" si="3"/>
        <v>1.0323304462440834</v>
      </c>
    </row>
    <row r="12" spans="2:8" x14ac:dyDescent="0.3">
      <c r="B12" s="110" t="s">
        <v>36</v>
      </c>
      <c r="C12" s="114">
        <f>C10/C9*1.1</f>
        <v>0.31001870144276822</v>
      </c>
      <c r="D12" s="114">
        <f t="shared" ref="D12:E12" si="4">D10/D9*1.1</f>
        <v>0.30915820575625741</v>
      </c>
      <c r="E12" s="114">
        <f t="shared" si="4"/>
        <v>0.29662948467378397</v>
      </c>
      <c r="F12" s="115">
        <f>E12-D12</f>
        <v>-1.2528721082473437E-2</v>
      </c>
      <c r="G12" s="115">
        <f>E12-C12</f>
        <v>-1.3389216768984247E-2</v>
      </c>
    </row>
    <row r="13" spans="2:8" x14ac:dyDescent="0.3">
      <c r="B13" s="110" t="s">
        <v>38</v>
      </c>
      <c r="C13" s="114">
        <f>C11/C9*1.1</f>
        <v>0.16300644080346127</v>
      </c>
      <c r="D13" s="114">
        <f t="shared" ref="D13:E13" si="5">D11/D9*1.1</f>
        <v>0.16616021085114044</v>
      </c>
      <c r="E13" s="114">
        <f t="shared" si="5"/>
        <v>0.16099830659556011</v>
      </c>
      <c r="F13" s="115">
        <f>E13-D13</f>
        <v>-5.1619042555803296E-3</v>
      </c>
      <c r="G13" s="115">
        <f>E13-C13</f>
        <v>-2.0081342079011633E-3</v>
      </c>
    </row>
    <row r="15" spans="2:8" x14ac:dyDescent="0.3">
      <c r="B15" s="110" t="s">
        <v>47</v>
      </c>
      <c r="C15" s="111" t="s">
        <v>42</v>
      </c>
      <c r="D15" s="111" t="s">
        <v>43</v>
      </c>
      <c r="E15" s="111" t="s">
        <v>41</v>
      </c>
      <c r="F15" s="110" t="s">
        <v>45</v>
      </c>
      <c r="G15" s="110" t="s">
        <v>44</v>
      </c>
    </row>
    <row r="16" spans="2:8" x14ac:dyDescent="0.3">
      <c r="B16" s="110" t="s">
        <v>40</v>
      </c>
      <c r="C16" s="111">
        <v>8620315000</v>
      </c>
      <c r="D16" s="111">
        <v>8900803000</v>
      </c>
      <c r="E16" s="111">
        <v>7948281350</v>
      </c>
      <c r="F16" s="109">
        <f>E16/D16</f>
        <v>0.89298475092640517</v>
      </c>
      <c r="G16" s="109">
        <f>E16/C16</f>
        <v>0.92204070848919095</v>
      </c>
    </row>
    <row r="17" spans="2:7" x14ac:dyDescent="0.3">
      <c r="B17" s="110" t="s">
        <v>35</v>
      </c>
      <c r="C17" s="111">
        <v>1079803000</v>
      </c>
      <c r="D17" s="111">
        <v>583822000</v>
      </c>
      <c r="E17" s="111">
        <v>809866201.40772009</v>
      </c>
      <c r="F17" s="109">
        <f>E17/D17</f>
        <v>1.387179999054027</v>
      </c>
      <c r="G17" s="109">
        <f t="shared" ref="G17:G18" si="6">E17/C17</f>
        <v>0.7500129203268745</v>
      </c>
    </row>
    <row r="18" spans="2:7" x14ac:dyDescent="0.3">
      <c r="B18" s="110" t="s">
        <v>37</v>
      </c>
      <c r="C18" s="111">
        <v>-197543000</v>
      </c>
      <c r="D18" s="111">
        <v>-676572000</v>
      </c>
      <c r="E18" s="111">
        <v>-450527798.59227991</v>
      </c>
      <c r="F18" s="109">
        <f>E18/D18</f>
        <v>0.66589778854620041</v>
      </c>
      <c r="G18" s="109">
        <f t="shared" si="6"/>
        <v>2.2806568625174259</v>
      </c>
    </row>
    <row r="19" spans="2:7" x14ac:dyDescent="0.3">
      <c r="B19" s="110" t="s">
        <v>36</v>
      </c>
      <c r="C19" s="114">
        <f>C17/C16*1.1</f>
        <v>0.13778885110346897</v>
      </c>
      <c r="D19" s="114">
        <f t="shared" ref="D19:E19" si="7">D17/D16*1.1</f>
        <v>7.2151265453240576E-2</v>
      </c>
      <c r="E19" s="114">
        <f t="shared" si="7"/>
        <v>0.11208118866457742</v>
      </c>
      <c r="F19" s="115">
        <f>E19-D19</f>
        <v>3.9929923211336843E-2</v>
      </c>
      <c r="G19" s="115">
        <f>E19-C19</f>
        <v>-2.5707662438891554E-2</v>
      </c>
    </row>
    <row r="20" spans="2:7" x14ac:dyDescent="0.3">
      <c r="B20" s="110" t="s">
        <v>38</v>
      </c>
      <c r="C20" s="114">
        <f>C18/C16*1.1</f>
        <v>-2.5207582321527696E-2</v>
      </c>
      <c r="D20" s="114">
        <f t="shared" ref="D20:E20" si="8">D18/D16*1.1</f>
        <v>-8.3613714403071276E-2</v>
      </c>
      <c r="E20" s="114">
        <f t="shared" si="8"/>
        <v>-6.235065879386717E-2</v>
      </c>
      <c r="F20" s="115">
        <f>E20-D20</f>
        <v>2.1263055609204107E-2</v>
      </c>
      <c r="G20" s="115">
        <f>E20-C20</f>
        <v>-3.714307647233947E-2</v>
      </c>
    </row>
    <row r="22" spans="2:7" x14ac:dyDescent="0.3">
      <c r="B22" s="117" t="s">
        <v>48</v>
      </c>
      <c r="C22" s="111" t="s">
        <v>42</v>
      </c>
      <c r="D22" s="111" t="s">
        <v>43</v>
      </c>
      <c r="E22" s="111" t="s">
        <v>41</v>
      </c>
      <c r="F22" s="117" t="s">
        <v>45</v>
      </c>
      <c r="G22" s="117" t="s">
        <v>44</v>
      </c>
    </row>
    <row r="23" spans="2:7" x14ac:dyDescent="0.3">
      <c r="B23" s="117" t="s">
        <v>40</v>
      </c>
      <c r="C23" s="111">
        <v>46417621000</v>
      </c>
      <c r="D23" s="111">
        <v>45899671000</v>
      </c>
      <c r="E23" s="111">
        <v>40320745553</v>
      </c>
      <c r="F23" s="118">
        <f>E23/D23</f>
        <v>0.87845391207706047</v>
      </c>
      <c r="G23" s="118">
        <f>E23/C23</f>
        <v>0.86865170347700504</v>
      </c>
    </row>
    <row r="24" spans="2:7" x14ac:dyDescent="0.3">
      <c r="B24" s="117" t="s">
        <v>35</v>
      </c>
      <c r="C24" s="111">
        <v>10798504000</v>
      </c>
      <c r="D24" s="111">
        <v>10754260000</v>
      </c>
      <c r="E24" s="111">
        <v>8971366284.8730965</v>
      </c>
      <c r="F24" s="118">
        <f>E24/D24</f>
        <v>0.8342151189271132</v>
      </c>
      <c r="G24" s="118">
        <f t="shared" ref="G24:G25" si="9">E24/C24</f>
        <v>0.83079714420378015</v>
      </c>
    </row>
    <row r="25" spans="2:7" x14ac:dyDescent="0.3">
      <c r="B25" s="117" t="s">
        <v>37</v>
      </c>
      <c r="C25" s="111">
        <v>4755905000</v>
      </c>
      <c r="D25" s="111">
        <v>4457259000</v>
      </c>
      <c r="E25" s="111">
        <v>2674365284.8730965</v>
      </c>
      <c r="F25" s="118">
        <f>E25/D25</f>
        <v>0.60000221770220141</v>
      </c>
      <c r="G25" s="118">
        <f t="shared" si="9"/>
        <v>0.5623252114735463</v>
      </c>
    </row>
    <row r="26" spans="2:7" x14ac:dyDescent="0.3">
      <c r="B26" s="117" t="s">
        <v>36</v>
      </c>
      <c r="C26" s="114">
        <f>C24/C23*1.1</f>
        <v>0.25590183521038273</v>
      </c>
      <c r="D26" s="114">
        <f t="shared" ref="D26:E26" si="10">D24/D23*1.1</f>
        <v>0.25772921117452019</v>
      </c>
      <c r="E26" s="114">
        <f t="shared" si="10"/>
        <v>0.24475001089423448</v>
      </c>
      <c r="F26" s="115">
        <f>E26-D26</f>
        <v>-1.2979200280285708E-2</v>
      </c>
      <c r="G26" s="115">
        <f>E26-C26</f>
        <v>-1.1151824316148251E-2</v>
      </c>
    </row>
    <row r="27" spans="2:7" x14ac:dyDescent="0.3">
      <c r="B27" s="117" t="s">
        <v>38</v>
      </c>
      <c r="C27" s="114">
        <f>C25/C23*1.1</f>
        <v>0.11270494668393281</v>
      </c>
      <c r="D27" s="114">
        <f t="shared" ref="D27:E27" si="11">D25/D23*1.1</f>
        <v>0.10681960879414583</v>
      </c>
      <c r="E27" s="114">
        <f t="shared" si="11"/>
        <v>7.29600054020213E-2</v>
      </c>
      <c r="F27" s="115">
        <f>E27-D27</f>
        <v>-3.3859603392124529E-2</v>
      </c>
      <c r="G27" s="115">
        <f>E27-C27</f>
        <v>-3.9744941281911514E-2</v>
      </c>
    </row>
    <row r="29" spans="2:7" x14ac:dyDescent="0.3">
      <c r="B29" s="117" t="s">
        <v>27</v>
      </c>
      <c r="C29" s="111" t="s">
        <v>42</v>
      </c>
      <c r="D29" s="111" t="s">
        <v>43</v>
      </c>
      <c r="E29" s="111" t="s">
        <v>41</v>
      </c>
      <c r="F29" s="117" t="s">
        <v>45</v>
      </c>
      <c r="G29" s="117" t="s">
        <v>44</v>
      </c>
    </row>
    <row r="30" spans="2:7" x14ac:dyDescent="0.3">
      <c r="B30" s="117" t="s">
        <v>40</v>
      </c>
      <c r="C30" s="111">
        <v>1851054000</v>
      </c>
      <c r="D30" s="111">
        <v>3250000000</v>
      </c>
      <c r="E30" s="111">
        <v>3867352390</v>
      </c>
      <c r="F30" s="118">
        <f>E30/D30</f>
        <v>1.1899545815384616</v>
      </c>
      <c r="G30" s="118">
        <f>E30/C30</f>
        <v>2.0892704318728681</v>
      </c>
    </row>
    <row r="31" spans="2:7" x14ac:dyDescent="0.3">
      <c r="B31" s="117" t="s">
        <v>35</v>
      </c>
      <c r="C31" s="111">
        <v>-1210974000</v>
      </c>
      <c r="D31" s="111">
        <v>712219000</v>
      </c>
      <c r="E31" s="111">
        <v>1056578702.850857</v>
      </c>
      <c r="F31" s="118">
        <f>E31/D31</f>
        <v>1.4835025502701515</v>
      </c>
      <c r="G31" s="118">
        <f t="shared" ref="G31:G32" si="12">E31/C31</f>
        <v>-0.87250321051554947</v>
      </c>
    </row>
    <row r="32" spans="2:7" x14ac:dyDescent="0.3">
      <c r="B32" s="117" t="s">
        <v>37</v>
      </c>
      <c r="C32" s="111">
        <v>-1920032000</v>
      </c>
      <c r="D32" s="111">
        <v>-158042000</v>
      </c>
      <c r="E32" s="111">
        <v>186317702.85085702</v>
      </c>
      <c r="F32" s="118">
        <f>E32/D32</f>
        <v>-1.1789125855839397</v>
      </c>
      <c r="G32" s="118">
        <f t="shared" si="12"/>
        <v>-9.7038852920606017E-2</v>
      </c>
    </row>
    <row r="33" spans="2:7" x14ac:dyDescent="0.3">
      <c r="B33" s="117" t="s">
        <v>36</v>
      </c>
      <c r="C33" s="114">
        <f>C31/C30*1.1</f>
        <v>-0.71962860078636282</v>
      </c>
      <c r="D33" s="114">
        <f t="shared" ref="D33:E33" si="13">D31/D30*1.1</f>
        <v>0.2410587384615385</v>
      </c>
      <c r="E33" s="114">
        <f t="shared" si="13"/>
        <v>0.30052512828704053</v>
      </c>
      <c r="F33" s="115">
        <f>E33-D33</f>
        <v>5.9466389825502036E-2</v>
      </c>
      <c r="G33" s="115">
        <f>E33-C33</f>
        <v>1.0201537290734033</v>
      </c>
    </row>
    <row r="34" spans="2:7" x14ac:dyDescent="0.3">
      <c r="B34" s="117" t="s">
        <v>38</v>
      </c>
      <c r="C34" s="114">
        <f>C32/C30*1.1</f>
        <v>-1.1409905923868242</v>
      </c>
      <c r="D34" s="114">
        <f t="shared" ref="D34:E34" si="14">D32/D30*1.1</f>
        <v>-5.3491138461538468E-2</v>
      </c>
      <c r="E34" s="114">
        <f t="shared" si="14"/>
        <v>5.2994775874546762E-2</v>
      </c>
      <c r="F34" s="115">
        <f>E34-D34</f>
        <v>0.10648591433608523</v>
      </c>
      <c r="G34" s="115">
        <f>E34-C34</f>
        <v>1.193985368261371</v>
      </c>
    </row>
    <row r="36" spans="2:7" x14ac:dyDescent="0.3">
      <c r="B36" s="117" t="s">
        <v>51</v>
      </c>
      <c r="C36" s="111" t="s">
        <v>42</v>
      </c>
      <c r="D36" s="111" t="s">
        <v>43</v>
      </c>
      <c r="E36" s="111" t="s">
        <v>41</v>
      </c>
      <c r="F36" s="117" t="s">
        <v>45</v>
      </c>
      <c r="G36" s="117" t="s">
        <v>44</v>
      </c>
    </row>
    <row r="37" spans="2:7" x14ac:dyDescent="0.3">
      <c r="B37" s="117" t="s">
        <v>40</v>
      </c>
      <c r="C37" s="111">
        <v>1028039000</v>
      </c>
      <c r="D37" s="111">
        <v>1346000000</v>
      </c>
      <c r="E37" s="111">
        <v>843000140</v>
      </c>
      <c r="F37" s="118">
        <f>E37/D37</f>
        <v>0.6263002526002972</v>
      </c>
      <c r="G37" s="118">
        <f>E37/C37</f>
        <v>0.82000793744206202</v>
      </c>
    </row>
    <row r="38" spans="2:7" x14ac:dyDescent="0.3">
      <c r="B38" s="117" t="s">
        <v>35</v>
      </c>
      <c r="C38" s="111">
        <v>148784000</v>
      </c>
      <c r="D38" s="111">
        <v>32148000</v>
      </c>
      <c r="E38" s="111">
        <v>4600698.955909133</v>
      </c>
      <c r="F38" s="118">
        <f>E38/D38</f>
        <v>0.1431099588126519</v>
      </c>
      <c r="G38" s="118">
        <f t="shared" ref="G38:G39" si="15">E38/C38</f>
        <v>3.0922000725273773E-2</v>
      </c>
    </row>
    <row r="39" spans="2:7" x14ac:dyDescent="0.3">
      <c r="B39" s="117" t="s">
        <v>37</v>
      </c>
      <c r="C39" s="111">
        <v>-723339000</v>
      </c>
      <c r="D39" s="111">
        <v>-826445000</v>
      </c>
      <c r="E39" s="111">
        <v>-853992301.04409087</v>
      </c>
      <c r="F39" s="118">
        <f>E39/D39</f>
        <v>1.0333322859283931</v>
      </c>
      <c r="G39" s="118">
        <f t="shared" si="15"/>
        <v>1.1806252684344283</v>
      </c>
    </row>
    <row r="40" spans="2:7" x14ac:dyDescent="0.3">
      <c r="B40" s="117" t="s">
        <v>36</v>
      </c>
      <c r="C40" s="114">
        <f>C38/C37*1.1</f>
        <v>0.15919862962397341</v>
      </c>
      <c r="D40" s="114">
        <f t="shared" ref="D40:E40" si="16">D38/D37*1.1</f>
        <v>2.6272511144130761E-2</v>
      </c>
      <c r="E40" s="114">
        <f t="shared" si="16"/>
        <v>6.0032835243657807E-3</v>
      </c>
      <c r="F40" s="115">
        <f>E40-D40</f>
        <v>-2.026922761976498E-2</v>
      </c>
      <c r="G40" s="115">
        <f>E40-C40</f>
        <v>-0.15319534609960764</v>
      </c>
    </row>
    <row r="41" spans="2:7" x14ac:dyDescent="0.3">
      <c r="B41" s="117" t="s">
        <v>38</v>
      </c>
      <c r="C41" s="114">
        <f>C39/C37*1.1</f>
        <v>-0.77397151275389364</v>
      </c>
      <c r="D41" s="114">
        <f t="shared" ref="D41:E41" si="17">D39/D37*1.1</f>
        <v>-0.67540081723625567</v>
      </c>
      <c r="E41" s="114">
        <f t="shared" si="17"/>
        <v>-1.1143432682567527</v>
      </c>
      <c r="F41" s="115">
        <f>E41-D41</f>
        <v>-0.438942451020497</v>
      </c>
      <c r="G41" s="115">
        <f>E41-C41</f>
        <v>-0.34037175550285903</v>
      </c>
    </row>
    <row r="43" spans="2:7" x14ac:dyDescent="0.3">
      <c r="B43" s="117" t="s">
        <v>52</v>
      </c>
      <c r="C43" s="111" t="s">
        <v>42</v>
      </c>
      <c r="D43" s="111" t="s">
        <v>43</v>
      </c>
      <c r="E43" s="111" t="s">
        <v>41</v>
      </c>
      <c r="F43" s="117" t="s">
        <v>45</v>
      </c>
      <c r="G43" s="117" t="s">
        <v>44</v>
      </c>
    </row>
    <row r="44" spans="2:7" x14ac:dyDescent="0.3">
      <c r="B44" s="117" t="s">
        <v>40</v>
      </c>
      <c r="C44" s="111">
        <v>324192000</v>
      </c>
      <c r="D44" s="111">
        <v>400000000</v>
      </c>
      <c r="E44" s="111">
        <v>250557682</v>
      </c>
      <c r="F44" s="118">
        <f>E44/D44</f>
        <v>0.62639420499999998</v>
      </c>
      <c r="G44" s="118">
        <f>E44/C44</f>
        <v>0.77286818305201854</v>
      </c>
    </row>
    <row r="45" spans="2:7" x14ac:dyDescent="0.3">
      <c r="B45" s="117" t="s">
        <v>35</v>
      </c>
      <c r="C45" s="111">
        <v>-153779000</v>
      </c>
      <c r="D45" s="111">
        <v>-48880000</v>
      </c>
      <c r="E45" s="111">
        <v>-130913029.52077273</v>
      </c>
      <c r="F45" s="118">
        <f>E45/D45</f>
        <v>2.6782534681009151</v>
      </c>
      <c r="G45" s="118">
        <f t="shared" ref="G45:G46" si="18">E45/C45</f>
        <v>0.85130628707933287</v>
      </c>
    </row>
    <row r="46" spans="2:7" x14ac:dyDescent="0.3">
      <c r="B46" s="117" t="s">
        <v>37</v>
      </c>
      <c r="C46" s="111">
        <v>-900320000</v>
      </c>
      <c r="D46" s="111">
        <v>-241119000</v>
      </c>
      <c r="E46" s="111">
        <v>-323152029.5207727</v>
      </c>
      <c r="F46" s="118">
        <f>E46/D46</f>
        <v>1.34021802313701</v>
      </c>
      <c r="G46" s="118">
        <f t="shared" si="18"/>
        <v>0.35893019095518558</v>
      </c>
    </row>
    <row r="47" spans="2:7" x14ac:dyDescent="0.3">
      <c r="B47" s="117" t="s">
        <v>36</v>
      </c>
      <c r="C47" s="114">
        <f>C45/C44*1.1</f>
        <v>-0.52177999457111846</v>
      </c>
      <c r="D47" s="114">
        <f t="shared" ref="D47:E47" si="19">D45/D44*1.1</f>
        <v>-0.13442000000000001</v>
      </c>
      <c r="E47" s="114">
        <f t="shared" si="19"/>
        <v>-0.57473525187246111</v>
      </c>
      <c r="F47" s="115">
        <f>E47-D47</f>
        <v>-0.44031525187246112</v>
      </c>
      <c r="G47" s="115">
        <f>E47-C47</f>
        <v>-5.2955257301342651E-2</v>
      </c>
    </row>
    <row r="48" spans="2:7" x14ac:dyDescent="0.3">
      <c r="B48" s="117" t="s">
        <v>38</v>
      </c>
      <c r="C48" s="114">
        <f>C46/C44*1.1</f>
        <v>-3.054831704668838</v>
      </c>
      <c r="D48" s="114">
        <f t="shared" ref="D48:E48" si="20">D46/D44*1.1</f>
        <v>-0.66307725000000006</v>
      </c>
      <c r="E48" s="114">
        <f t="shared" si="20"/>
        <v>-1.4187041867383257</v>
      </c>
      <c r="F48" s="115">
        <f>E48-D48</f>
        <v>-0.75562693673832559</v>
      </c>
      <c r="G48" s="115">
        <f>E48-C48</f>
        <v>1.6361275179305124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(박재윤) F/KR/MGT/FPA</dc:creator>
  <cp:lastModifiedBy>(박재윤) F/KR/MGT/FPA</cp:lastModifiedBy>
  <dcterms:created xsi:type="dcterms:W3CDTF">2025-11-04T00:58:25Z</dcterms:created>
  <dcterms:modified xsi:type="dcterms:W3CDTF">2025-11-04T08:57:27Z</dcterms:modified>
</cp:coreProperties>
</file>